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nes\OneDrive\Documents\BTJ\documentos\"/>
    </mc:Choice>
  </mc:AlternateContent>
  <xr:revisionPtr revIDLastSave="0" documentId="13_ncr:1_{B8C25776-2973-4B37-8730-CDD52B110D82}" xr6:coauthVersionLast="47" xr6:coauthVersionMax="47" xr10:uidLastSave="{00000000-0000-0000-0000-000000000000}"/>
  <bookViews>
    <workbookView xWindow="-120" yWindow="-120" windowWidth="20730" windowHeight="11040" tabRatio="646" xr2:uid="{10E36108-4612-4BB4-9C45-3B9F40C83E44}"/>
  </bookViews>
  <sheets>
    <sheet name="custo unitário INSUMOS" sheetId="2" r:id="rId1"/>
  </sheets>
  <definedNames>
    <definedName name="CC_originacao">#REF!,#REF!,#REF!,#REF!,#REF!</definedName>
    <definedName name="CC_PAC">#REF!,#REF!,#REF!,#REF!,#REF!</definedName>
    <definedName name="TAB_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H3" i="2" s="1"/>
  <c r="H4" i="2" s="1"/>
  <c r="I2" i="2"/>
  <c r="I3" i="2" s="1"/>
  <c r="I4" i="2" s="1"/>
  <c r="F14" i="2" l="1"/>
  <c r="F28" i="2" l="1"/>
  <c r="G25" i="2" l="1"/>
  <c r="G28" i="2" l="1"/>
  <c r="G19" i="2"/>
  <c r="G11" i="2"/>
  <c r="G3" i="2"/>
  <c r="G10" i="2"/>
  <c r="G2" i="2"/>
  <c r="G17" i="2"/>
  <c r="G9" i="2"/>
  <c r="G5" i="2"/>
  <c r="G16" i="2"/>
  <c r="G8" i="2"/>
  <c r="G4" i="2"/>
  <c r="G7" i="2"/>
  <c r="G13" i="2"/>
  <c r="G20" i="2"/>
  <c r="G14" i="2"/>
  <c r="G6" i="2"/>
  <c r="G12" i="2"/>
  <c r="F24" i="2" l="1"/>
  <c r="G24" i="2" s="1"/>
  <c r="F23" i="2"/>
  <c r="G23" i="2" s="1"/>
  <c r="F21" i="2"/>
  <c r="G21" i="2" s="1"/>
  <c r="F18" i="2"/>
  <c r="G18" i="2" s="1"/>
  <c r="F15" i="2"/>
  <c r="G15" i="2" s="1"/>
  <c r="F26" i="2"/>
  <c r="G26" i="2" s="1"/>
  <c r="D24" i="2"/>
  <c r="D23" i="2"/>
  <c r="D21" i="2"/>
  <c r="D18" i="2"/>
  <c r="D15" i="2"/>
  <c r="D14" i="2"/>
  <c r="F22" i="2" l="1"/>
  <c r="G22" i="2" s="1"/>
  <c r="F27" i="2"/>
  <c r="G27" i="2" s="1"/>
</calcChain>
</file>

<file path=xl/sharedStrings.xml><?xml version="1.0" encoding="utf-8"?>
<sst xmlns="http://schemas.openxmlformats.org/spreadsheetml/2006/main" count="121" uniqueCount="77">
  <si>
    <t>CÓDIGOS</t>
  </si>
  <si>
    <t>INSUMOS NAS ESTRUTURAS</t>
  </si>
  <si>
    <t>unidade de compra</t>
  </si>
  <si>
    <t>vlr unitário</t>
  </si>
  <si>
    <t>unidade de estoque</t>
  </si>
  <si>
    <t>vlr unit pela unidade de estoque</t>
  </si>
  <si>
    <t>vlr unit pela unidade de estoque SEM TRIBUTOS</t>
  </si>
  <si>
    <t>pis, cofins, icms</t>
  </si>
  <si>
    <t>pis, cofins</t>
  </si>
  <si>
    <t>05.0004</t>
  </si>
  <si>
    <t>CAIXA DE ISOPOR (8,5L)</t>
  </si>
  <si>
    <t>UN</t>
  </si>
  <si>
    <t>05.0020</t>
  </si>
  <si>
    <t>SACO PLASTICO 1KG - UNICA</t>
  </si>
  <si>
    <t>MI</t>
  </si>
  <si>
    <t>05.0032</t>
  </si>
  <si>
    <t>SACO GOODFISH 500g</t>
  </si>
  <si>
    <t>sem entrada com nota fiscal</t>
  </si>
  <si>
    <t>-</t>
  </si>
  <si>
    <t>05.0033</t>
  </si>
  <si>
    <t>SACO QUALYFISH 400g</t>
  </si>
  <si>
    <t>05.0034</t>
  </si>
  <si>
    <t>SACO QUALYFISH 800g</t>
  </si>
  <si>
    <t>05.0046</t>
  </si>
  <si>
    <t>ETQ AZUL</t>
  </si>
  <si>
    <t>05.0047</t>
  </si>
  <si>
    <t>ETQ VERDE</t>
  </si>
  <si>
    <t>05.0048</t>
  </si>
  <si>
    <t>ETIQUETA VERMELHA - GG</t>
  </si>
  <si>
    <t>05.0049</t>
  </si>
  <si>
    <t>ETQ BRANCA</t>
  </si>
  <si>
    <t>05.0073</t>
  </si>
  <si>
    <t>SACO PARA CONGELADOS</t>
  </si>
  <si>
    <t>05.0080</t>
  </si>
  <si>
    <t>CAIXA DE PAPELÃO 330X430X330mm</t>
  </si>
  <si>
    <t>UN - MI</t>
  </si>
  <si>
    <t>6,31 e 5,70</t>
  </si>
  <si>
    <t>05.0083</t>
  </si>
  <si>
    <t>FOLHA PE LISA 30X40</t>
  </si>
  <si>
    <t>05.0086</t>
  </si>
  <si>
    <t>RIBBON</t>
  </si>
  <si>
    <t>RL</t>
  </si>
  <si>
    <t>M</t>
  </si>
  <si>
    <t>05.0087</t>
  </si>
  <si>
    <t xml:space="preserve">FITA ADESIVA </t>
  </si>
  <si>
    <t>05.0088</t>
  </si>
  <si>
    <t>ABSORVENTE PRETO</t>
  </si>
  <si>
    <t>CX</t>
  </si>
  <si>
    <t>05.0092</t>
  </si>
  <si>
    <t>ABSORVENTE BRANCO</t>
  </si>
  <si>
    <t>05.0089</t>
  </si>
  <si>
    <t>FITA DE ARQUEAR</t>
  </si>
  <si>
    <t>05.0090</t>
  </si>
  <si>
    <t>SACO 500X800X0,16 AZUL</t>
  </si>
  <si>
    <t>05.0091</t>
  </si>
  <si>
    <t>SACO RAFIA</t>
  </si>
  <si>
    <t>SC</t>
  </si>
  <si>
    <t>05.0059</t>
  </si>
  <si>
    <t>SACO QUALY NP 350X450X120P</t>
  </si>
  <si>
    <t>04.0018</t>
  </si>
  <si>
    <t>GELOX</t>
  </si>
  <si>
    <t>UNIDADE</t>
  </si>
  <si>
    <t>05.0093</t>
  </si>
  <si>
    <t>PO QUIMICO GEL PACK - UNICA</t>
  </si>
  <si>
    <t>KG</t>
  </si>
  <si>
    <t>GR</t>
  </si>
  <si>
    <t>05.0017</t>
  </si>
  <si>
    <t>SACO GEL PACK - UNICA</t>
  </si>
  <si>
    <t>05.0027</t>
  </si>
  <si>
    <t>PEIXE VIVO</t>
  </si>
  <si>
    <t>FLR001</t>
  </si>
  <si>
    <t>FILE SEM PELE IN NATURA</t>
  </si>
  <si>
    <t>RENDIMENTO/KG</t>
  </si>
  <si>
    <t>04.0015</t>
  </si>
  <si>
    <t>RESÍDUO</t>
  </si>
  <si>
    <t>EVISCERADA</t>
  </si>
  <si>
    <t>EVICESRADA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</si>
</sst>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_-;\-&quot;R$&quot;\ * #,##0.0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/>
    <xf numFmtId="0" fontId="5" fillId="0" borderId="0" applyNumberFormat="0"/>
    <xf numFmtId="43" fontId="5" fillId="0" borderId="0" applyFont="0" applyFill="0" applyBorder="0" applyAlignment="0" applyProtection="0"/>
    <xf numFmtId="0" fontId="1" fillId="0" borderId="0"/>
    <xf numFmtId="0" fontId="1" fillId="6" borderId="5" applyNumberFormat="0" applyFon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0" fillId="3" borderId="1" xfId="0" applyNumberFormat="1" applyFill="1" applyBorder="1"/>
    <xf numFmtId="0" fontId="0" fillId="4" borderId="1" xfId="0" applyFill="1" applyBorder="1"/>
    <xf numFmtId="49" fontId="4" fillId="5" borderId="2" xfId="0" applyNumberFormat="1" applyFont="1" applyFill="1" applyBorder="1"/>
    <xf numFmtId="0" fontId="4" fillId="5" borderId="1" xfId="0" applyFont="1" applyFill="1" applyBorder="1"/>
    <xf numFmtId="49" fontId="4" fillId="5" borderId="4" xfId="0" applyNumberFormat="1" applyFont="1" applyFill="1" applyBorder="1"/>
    <xf numFmtId="0" fontId="4" fillId="5" borderId="3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0" fillId="0" borderId="0" xfId="0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3" fillId="0" borderId="0" xfId="2" applyNumberFormat="1" applyFont="1"/>
    <xf numFmtId="164" fontId="0" fillId="0" borderId="0" xfId="2" applyNumberFormat="1" applyFont="1" applyFill="1" applyAlignment="1">
      <alignment horizontal="center" vertical="center"/>
    </xf>
    <xf numFmtId="44" fontId="0" fillId="0" borderId="0" xfId="2" applyFont="1"/>
    <xf numFmtId="43" fontId="0" fillId="0" borderId="0" xfId="1" applyFont="1"/>
    <xf numFmtId="43" fontId="0" fillId="0" borderId="0" xfId="1" applyFont="1" applyAlignment="1">
      <alignment horizontal="center"/>
    </xf>
    <xf numFmtId="164" fontId="2" fillId="2" borderId="0" xfId="2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/>
  </cellXfs>
  <cellStyles count="10">
    <cellStyle name="Moeda" xfId="2" builtinId="4"/>
    <cellStyle name="Moeda 2" xfId="9" xr:uid="{01F3C453-B0C2-4C6C-9F02-9923135C562E}"/>
    <cellStyle name="Normal" xfId="0" builtinId="0"/>
    <cellStyle name="Normal 2" xfId="3" xr:uid="{02D8075B-CA6C-4F46-8554-44BA32A92C84}"/>
    <cellStyle name="normal 2 2" xfId="4" xr:uid="{568A4A00-011B-4AD1-91BB-5B0A21901021}"/>
    <cellStyle name="Normal 2 3" xfId="6" xr:uid="{791DC67F-FE59-4946-ABD5-D1EE6357E232}"/>
    <cellStyle name="Nota 2" xfId="7" xr:uid="{9284B4F2-4ADE-4771-9C59-230C1D770911}"/>
    <cellStyle name="Vírgula" xfId="1" builtinId="3"/>
    <cellStyle name="Vírgula 2" xfId="8" xr:uid="{952522B1-8FFF-4EB4-BE8D-726259E6410D}"/>
    <cellStyle name="Vírgula 3" xfId="5" xr:uid="{6631DA8F-D9EF-4EC8-93D8-D3B2F4E7CD45}"/>
  </cellStyles>
  <dxfs count="0"/>
  <tableStyles count="1" defaultTableStyle="TableStyleMedium2" defaultPivotStyle="PivotStyleLight16">
    <tableStyle name="Invisible" pivot="0" table="0" count="0" xr9:uid="{3BBD26F2-FD7B-4D17-8322-D911BAF334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1FF4-35E9-442B-841F-DD1A933DB13C}">
  <sheetPr>
    <tabColor rgb="FF92D050"/>
  </sheetPr>
  <dimension ref="A1:I28"/>
  <sheetViews>
    <sheetView tabSelected="1" zoomScaleNormal="100" workbookViewId="0">
      <selection activeCell="H1" sqref="H1:I1048576"/>
    </sheetView>
  </sheetViews>
  <sheetFormatPr defaultRowHeight="15" x14ac:dyDescent="0.25"/>
  <cols>
    <col min="1" max="1" width="12" style="1" customWidth="1"/>
    <col min="2" max="2" width="33" bestFit="1" customWidth="1"/>
    <col min="3" max="3" width="26.5703125" bestFit="1" customWidth="1"/>
    <col min="4" max="4" width="12.28515625" customWidth="1"/>
    <col min="5" max="5" width="15.85546875" customWidth="1"/>
    <col min="6" max="7" width="13.85546875" style="12" customWidth="1"/>
    <col min="8" max="9" width="15.5703125" customWidth="1"/>
    <col min="10" max="10" width="10.5703125" customWidth="1"/>
  </cols>
  <sheetData>
    <row r="1" spans="1:9" s="10" customFormat="1" ht="60" x14ac:dyDescent="0.25">
      <c r="A1" s="8" t="s">
        <v>0</v>
      </c>
      <c r="B1" s="8" t="s">
        <v>1</v>
      </c>
      <c r="C1" s="9" t="s">
        <v>2</v>
      </c>
      <c r="D1" s="9" t="s">
        <v>3</v>
      </c>
      <c r="E1" s="21" t="s">
        <v>4</v>
      </c>
      <c r="F1" s="20" t="s">
        <v>5</v>
      </c>
      <c r="G1" s="20" t="s">
        <v>6</v>
      </c>
      <c r="H1" s="9" t="s">
        <v>7</v>
      </c>
      <c r="I1" s="9" t="s">
        <v>8</v>
      </c>
    </row>
    <row r="2" spans="1:9" x14ac:dyDescent="0.25">
      <c r="A2" t="s">
        <v>9</v>
      </c>
      <c r="B2" t="s">
        <v>10</v>
      </c>
      <c r="C2" s="11" t="s">
        <v>11</v>
      </c>
      <c r="D2" s="12">
        <v>5.0999999999999996</v>
      </c>
      <c r="E2" s="11" t="s">
        <v>11</v>
      </c>
      <c r="F2" s="12">
        <v>5.0999999999999996</v>
      </c>
      <c r="G2" s="12">
        <f t="shared" ref="G2:G21" si="0">+F2*$I$4</f>
        <v>4.6282499999999995</v>
      </c>
      <c r="H2">
        <f>1.65+7.6+7</f>
        <v>16.25</v>
      </c>
      <c r="I2">
        <f>1.65+7.6</f>
        <v>9.25</v>
      </c>
    </row>
    <row r="3" spans="1:9" x14ac:dyDescent="0.25">
      <c r="A3" t="s">
        <v>12</v>
      </c>
      <c r="B3" t="s">
        <v>13</v>
      </c>
      <c r="C3" s="11" t="s">
        <v>14</v>
      </c>
      <c r="D3" s="12">
        <v>7.2999999999999995E-2</v>
      </c>
      <c r="E3" s="11" t="s">
        <v>11</v>
      </c>
      <c r="F3" s="12">
        <v>7.2999999999999995E-2</v>
      </c>
      <c r="G3" s="12">
        <f t="shared" si="0"/>
        <v>6.6247500000000001E-2</v>
      </c>
      <c r="H3">
        <f>100-H2</f>
        <v>83.75</v>
      </c>
      <c r="I3">
        <f>100-I2</f>
        <v>90.75</v>
      </c>
    </row>
    <row r="4" spans="1:9" x14ac:dyDescent="0.25">
      <c r="A4" t="s">
        <v>15</v>
      </c>
      <c r="B4" t="s">
        <v>16</v>
      </c>
      <c r="C4" t="s">
        <v>17</v>
      </c>
      <c r="D4" s="14" t="s">
        <v>18</v>
      </c>
      <c r="E4" s="13" t="s">
        <v>18</v>
      </c>
      <c r="G4" s="12">
        <f t="shared" si="0"/>
        <v>0</v>
      </c>
      <c r="H4" s="22">
        <f>+H3/100</f>
        <v>0.83750000000000002</v>
      </c>
      <c r="I4" s="22">
        <f>+I3/100</f>
        <v>0.90749999999999997</v>
      </c>
    </row>
    <row r="5" spans="1:9" x14ac:dyDescent="0.25">
      <c r="A5" t="s">
        <v>19</v>
      </c>
      <c r="B5" t="s">
        <v>20</v>
      </c>
      <c r="C5" t="s">
        <v>17</v>
      </c>
      <c r="D5" s="14" t="s">
        <v>18</v>
      </c>
      <c r="E5" s="13" t="s">
        <v>18</v>
      </c>
      <c r="G5" s="12">
        <f t="shared" si="0"/>
        <v>0</v>
      </c>
    </row>
    <row r="6" spans="1:9" x14ac:dyDescent="0.25">
      <c r="A6" t="s">
        <v>21</v>
      </c>
      <c r="B6" t="s">
        <v>22</v>
      </c>
      <c r="C6" t="s">
        <v>17</v>
      </c>
      <c r="D6" s="14" t="s">
        <v>18</v>
      </c>
      <c r="E6" s="13" t="s">
        <v>18</v>
      </c>
      <c r="G6" s="12">
        <f t="shared" si="0"/>
        <v>0</v>
      </c>
    </row>
    <row r="7" spans="1:9" x14ac:dyDescent="0.25">
      <c r="A7" t="s">
        <v>23</v>
      </c>
      <c r="B7" t="s">
        <v>24</v>
      </c>
      <c r="C7" s="11" t="s">
        <v>14</v>
      </c>
      <c r="D7" s="12">
        <v>8.5999999999999993E-2</v>
      </c>
      <c r="E7" s="11" t="s">
        <v>11</v>
      </c>
      <c r="F7" s="12">
        <v>8.5999999999999993E-2</v>
      </c>
      <c r="G7" s="12">
        <f t="shared" si="0"/>
        <v>7.8044999999999989E-2</v>
      </c>
    </row>
    <row r="8" spans="1:9" x14ac:dyDescent="0.25">
      <c r="A8" t="s">
        <v>25</v>
      </c>
      <c r="B8" t="s">
        <v>26</v>
      </c>
      <c r="C8" s="11" t="s">
        <v>14</v>
      </c>
      <c r="D8" s="12">
        <v>8.5999999999999993E-2</v>
      </c>
      <c r="E8" s="11" t="s">
        <v>11</v>
      </c>
      <c r="F8" s="12">
        <v>8.5999999999999993E-2</v>
      </c>
      <c r="G8" s="12">
        <f t="shared" si="0"/>
        <v>7.8044999999999989E-2</v>
      </c>
    </row>
    <row r="9" spans="1:9" x14ac:dyDescent="0.25">
      <c r="A9" t="s">
        <v>27</v>
      </c>
      <c r="B9" t="s">
        <v>28</v>
      </c>
      <c r="C9" s="11" t="s">
        <v>14</v>
      </c>
      <c r="D9" s="12">
        <v>8.5999999999999993E-2</v>
      </c>
      <c r="E9" s="11" t="s">
        <v>11</v>
      </c>
      <c r="F9" s="12">
        <v>8.5999999999999993E-2</v>
      </c>
      <c r="G9" s="12">
        <f t="shared" si="0"/>
        <v>7.8044999999999989E-2</v>
      </c>
    </row>
    <row r="10" spans="1:9" x14ac:dyDescent="0.25">
      <c r="A10" t="s">
        <v>29</v>
      </c>
      <c r="B10" t="s">
        <v>30</v>
      </c>
      <c r="C10" t="s">
        <v>17</v>
      </c>
      <c r="D10" s="14" t="s">
        <v>18</v>
      </c>
      <c r="E10" s="11" t="s">
        <v>11</v>
      </c>
      <c r="F10" s="12">
        <v>8.5999999999999993E-2</v>
      </c>
      <c r="G10" s="12">
        <f t="shared" si="0"/>
        <v>7.8044999999999989E-2</v>
      </c>
    </row>
    <row r="11" spans="1:9" x14ac:dyDescent="0.25">
      <c r="A11" t="s">
        <v>31</v>
      </c>
      <c r="B11" t="s">
        <v>32</v>
      </c>
      <c r="C11" s="11" t="s">
        <v>14</v>
      </c>
      <c r="D11" s="12">
        <v>9.6000000000000002E-2</v>
      </c>
      <c r="E11" s="11" t="s">
        <v>11</v>
      </c>
      <c r="F11" s="12">
        <v>9.6000000000000002E-2</v>
      </c>
      <c r="G11" s="12">
        <f t="shared" si="0"/>
        <v>8.7120000000000003E-2</v>
      </c>
    </row>
    <row r="12" spans="1:9" x14ac:dyDescent="0.25">
      <c r="A12" t="s">
        <v>33</v>
      </c>
      <c r="B12" t="s">
        <v>34</v>
      </c>
      <c r="C12" s="11" t="s">
        <v>35</v>
      </c>
      <c r="D12" s="12" t="s">
        <v>36</v>
      </c>
      <c r="E12" s="11" t="s">
        <v>11</v>
      </c>
      <c r="F12" s="15">
        <v>6.2</v>
      </c>
      <c r="G12" s="12">
        <f t="shared" si="0"/>
        <v>5.6265000000000001</v>
      </c>
    </row>
    <row r="13" spans="1:9" x14ac:dyDescent="0.25">
      <c r="A13" t="s">
        <v>37</v>
      </c>
      <c r="B13" t="s">
        <v>38</v>
      </c>
      <c r="C13" s="11" t="s">
        <v>14</v>
      </c>
      <c r="D13" s="12">
        <v>0.109</v>
      </c>
      <c r="E13" s="11" t="s">
        <v>11</v>
      </c>
      <c r="F13" s="12">
        <v>0.06</v>
      </c>
      <c r="G13" s="12">
        <f t="shared" si="0"/>
        <v>5.4449999999999998E-2</v>
      </c>
    </row>
    <row r="14" spans="1:9" x14ac:dyDescent="0.25">
      <c r="A14" t="s">
        <v>39</v>
      </c>
      <c r="B14" t="s">
        <v>40</v>
      </c>
      <c r="C14" s="13" t="s">
        <v>41</v>
      </c>
      <c r="D14" s="16">
        <f>48/300</f>
        <v>0.16</v>
      </c>
      <c r="E14" s="11" t="s">
        <v>42</v>
      </c>
      <c r="F14" s="16">
        <f>0.032</f>
        <v>3.2000000000000001E-2</v>
      </c>
      <c r="G14" s="12">
        <f t="shared" si="0"/>
        <v>2.904E-2</v>
      </c>
    </row>
    <row r="15" spans="1:9" x14ac:dyDescent="0.25">
      <c r="A15" t="s">
        <v>43</v>
      </c>
      <c r="B15" t="s">
        <v>44</v>
      </c>
      <c r="C15" s="13" t="s">
        <v>41</v>
      </c>
      <c r="D15" s="16">
        <f>5.6/100</f>
        <v>5.5999999999999994E-2</v>
      </c>
      <c r="E15" s="11" t="s">
        <v>42</v>
      </c>
      <c r="F15" s="16">
        <f>5.6/100</f>
        <v>5.5999999999999994E-2</v>
      </c>
      <c r="G15" s="12">
        <f t="shared" si="0"/>
        <v>5.081999999999999E-2</v>
      </c>
    </row>
    <row r="16" spans="1:9" x14ac:dyDescent="0.25">
      <c r="A16" t="s">
        <v>45</v>
      </c>
      <c r="B16" t="s">
        <v>46</v>
      </c>
      <c r="C16" s="13" t="s">
        <v>47</v>
      </c>
      <c r="D16" s="16">
        <v>9.6000000000000002E-2</v>
      </c>
      <c r="E16" s="11" t="s">
        <v>11</v>
      </c>
      <c r="F16" s="16">
        <v>9.6000000000000002E-2</v>
      </c>
      <c r="G16" s="12">
        <f t="shared" si="0"/>
        <v>8.7120000000000003E-2</v>
      </c>
    </row>
    <row r="17" spans="1:7" x14ac:dyDescent="0.25">
      <c r="A17" s="1" t="s">
        <v>48</v>
      </c>
      <c r="B17" t="s">
        <v>49</v>
      </c>
      <c r="C17" s="13" t="s">
        <v>47</v>
      </c>
      <c r="D17" s="16">
        <v>6.4000000000000001E-2</v>
      </c>
      <c r="E17" s="11" t="s">
        <v>11</v>
      </c>
      <c r="F17" s="16">
        <v>6.4000000000000001E-2</v>
      </c>
      <c r="G17" s="12">
        <f t="shared" si="0"/>
        <v>5.808E-2</v>
      </c>
    </row>
    <row r="18" spans="1:7" x14ac:dyDescent="0.25">
      <c r="A18" t="s">
        <v>50</v>
      </c>
      <c r="B18" t="s">
        <v>51</v>
      </c>
      <c r="C18" s="13" t="s">
        <v>41</v>
      </c>
      <c r="D18" s="16">
        <f>320/3000</f>
        <v>0.10666666666666667</v>
      </c>
      <c r="E18" s="11" t="s">
        <v>42</v>
      </c>
      <c r="F18" s="16">
        <f>320/3000</f>
        <v>0.10666666666666667</v>
      </c>
      <c r="G18" s="12">
        <f t="shared" si="0"/>
        <v>9.6799999999999997E-2</v>
      </c>
    </row>
    <row r="19" spans="1:7" x14ac:dyDescent="0.25">
      <c r="A19" t="s">
        <v>52</v>
      </c>
      <c r="B19" t="s">
        <v>53</v>
      </c>
      <c r="C19" s="13" t="s">
        <v>14</v>
      </c>
      <c r="D19" s="14">
        <v>1.2330000000000001</v>
      </c>
      <c r="E19" s="11" t="s">
        <v>11</v>
      </c>
      <c r="F19" s="14">
        <v>1.2330000000000001</v>
      </c>
      <c r="G19" s="12">
        <f t="shared" si="0"/>
        <v>1.1189475</v>
      </c>
    </row>
    <row r="20" spans="1:7" x14ac:dyDescent="0.25">
      <c r="A20" t="s">
        <v>54</v>
      </c>
      <c r="B20" t="s">
        <v>55</v>
      </c>
      <c r="C20" s="13" t="s">
        <v>56</v>
      </c>
      <c r="D20" s="14">
        <v>1.45</v>
      </c>
      <c r="E20" s="11" t="s">
        <v>11</v>
      </c>
      <c r="F20" s="14">
        <v>1.45</v>
      </c>
      <c r="G20" s="12">
        <f t="shared" si="0"/>
        <v>1.3158749999999999</v>
      </c>
    </row>
    <row r="21" spans="1:7" x14ac:dyDescent="0.25">
      <c r="A21" s="1" t="s">
        <v>57</v>
      </c>
      <c r="B21" t="s">
        <v>58</v>
      </c>
      <c r="C21" s="13" t="s">
        <v>14</v>
      </c>
      <c r="D21" s="14">
        <f>10584/10000</f>
        <v>1.0584</v>
      </c>
      <c r="E21" s="11" t="s">
        <v>11</v>
      </c>
      <c r="F21" s="14">
        <f>10584/10000</f>
        <v>1.0584</v>
      </c>
      <c r="G21" s="12">
        <f t="shared" si="0"/>
        <v>0.96049799999999996</v>
      </c>
    </row>
    <row r="22" spans="1:7" x14ac:dyDescent="0.25">
      <c r="A22" s="2" t="s">
        <v>59</v>
      </c>
      <c r="B22" s="3" t="s">
        <v>60</v>
      </c>
      <c r="C22" s="13" t="s">
        <v>61</v>
      </c>
      <c r="D22" s="14"/>
      <c r="E22" s="11"/>
      <c r="F22" s="14">
        <f>SUM(F23:F24)</f>
        <v>0.55324079999999998</v>
      </c>
      <c r="G22" s="12">
        <f>+F22*$I$4</f>
        <v>0.50206602599999994</v>
      </c>
    </row>
    <row r="23" spans="1:7" x14ac:dyDescent="0.25">
      <c r="A23" s="4" t="s">
        <v>62</v>
      </c>
      <c r="B23" s="5" t="s">
        <v>63</v>
      </c>
      <c r="C23" s="11" t="s">
        <v>64</v>
      </c>
      <c r="D23" s="12">
        <f>13.0208/1000</f>
        <v>1.3020799999999999E-2</v>
      </c>
      <c r="E23" s="11" t="s">
        <v>65</v>
      </c>
      <c r="F23" s="12">
        <f>13.0208/1000</f>
        <v>1.3020799999999999E-2</v>
      </c>
      <c r="G23" s="12">
        <f>+F23*$I$4</f>
        <v>1.1816375999999998E-2</v>
      </c>
    </row>
    <row r="24" spans="1:7" ht="15.75" thickBot="1" x14ac:dyDescent="0.3">
      <c r="A24" s="6" t="s">
        <v>66</v>
      </c>
      <c r="B24" s="7" t="s">
        <v>67</v>
      </c>
      <c r="C24" s="11" t="s">
        <v>14</v>
      </c>
      <c r="D24" s="17">
        <f>540.22/1000</f>
        <v>0.54022000000000003</v>
      </c>
      <c r="E24" s="11" t="s">
        <v>11</v>
      </c>
      <c r="F24" s="17">
        <f>540.22/1000</f>
        <v>0.54022000000000003</v>
      </c>
      <c r="G24" s="12">
        <f>+F24*$I$4</f>
        <v>0.49024965000000004</v>
      </c>
    </row>
    <row r="25" spans="1:7" x14ac:dyDescent="0.25">
      <c r="A25" s="1" t="s">
        <v>68</v>
      </c>
      <c r="B25" t="s">
        <v>69</v>
      </c>
      <c r="C25" s="11" t="s">
        <v>64</v>
      </c>
      <c r="D25" s="19">
        <v>1</v>
      </c>
      <c r="E25" s="11" t="s">
        <v>64</v>
      </c>
      <c r="F25" s="12">
        <v>7.79</v>
      </c>
      <c r="G25" s="12">
        <f>+F25*$I$4</f>
        <v>7.0694249999999998</v>
      </c>
    </row>
    <row r="26" spans="1:7" x14ac:dyDescent="0.25">
      <c r="A26" t="s">
        <v>70</v>
      </c>
      <c r="B26" t="s">
        <v>71</v>
      </c>
      <c r="C26" s="13" t="s">
        <v>72</v>
      </c>
      <c r="D26" s="18">
        <v>0.37</v>
      </c>
      <c r="E26" s="11" t="s">
        <v>64</v>
      </c>
      <c r="F26" s="12">
        <f>(D25/D26)*F25</f>
        <v>21.054054054054053</v>
      </c>
      <c r="G26" s="12">
        <f>+F26*$I$4</f>
        <v>19.106554054054051</v>
      </c>
    </row>
    <row r="27" spans="1:7" x14ac:dyDescent="0.25">
      <c r="A27" t="s">
        <v>73</v>
      </c>
      <c r="B27" t="s">
        <v>74</v>
      </c>
      <c r="C27" s="13" t="s">
        <v>72</v>
      </c>
      <c r="D27" s="18">
        <v>0.63</v>
      </c>
      <c r="E27" s="11" t="s">
        <v>64</v>
      </c>
      <c r="F27" s="12">
        <f>(D25/D27)*F25</f>
        <v>12.365079365079364</v>
      </c>
      <c r="G27" s="12">
        <f>+F27*$I$4</f>
        <v>11.221309523809522</v>
      </c>
    </row>
    <row r="28" spans="1:7" x14ac:dyDescent="0.25">
      <c r="A28" s="1" t="s">
        <v>75</v>
      </c>
      <c r="B28" t="s">
        <v>76</v>
      </c>
      <c r="C28" s="13" t="s">
        <v>72</v>
      </c>
      <c r="D28" s="18">
        <v>0.95</v>
      </c>
      <c r="E28" s="11" t="s">
        <v>64</v>
      </c>
      <c r="F28" s="12">
        <f>(D25/D28)*F25</f>
        <v>8.1999999999999993</v>
      </c>
      <c r="G28" s="12">
        <f>+F28*$I$4</f>
        <v>7.4414999999999996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 unitário 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Danieli Aragao</dc:creator>
  <cp:keywords/>
  <dc:description/>
  <cp:lastModifiedBy>Vanessa Santos Ferreira</cp:lastModifiedBy>
  <cp:revision/>
  <dcterms:created xsi:type="dcterms:W3CDTF">2024-07-05T12:26:00Z</dcterms:created>
  <dcterms:modified xsi:type="dcterms:W3CDTF">2026-02-18T20:33:49Z</dcterms:modified>
  <cp:category/>
  <cp:contentStatus/>
</cp:coreProperties>
</file>