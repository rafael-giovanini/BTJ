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anes\OneDrive\Documents\BTJ\documentos\"/>
    </mc:Choice>
  </mc:AlternateContent>
  <xr:revisionPtr revIDLastSave="0" documentId="13_ncr:1_{C61B0FB4-53BC-423F-8E84-351131B5E940}" xr6:coauthVersionLast="47" xr6:coauthVersionMax="47" xr10:uidLastSave="{00000000-0000-0000-0000-000000000000}"/>
  <bookViews>
    <workbookView xWindow="-120" yWindow="-120" windowWidth="20730" windowHeight="11040" tabRatio="646" xr2:uid="{10E36108-4612-4BB4-9C45-3B9F40C83E44}"/>
  </bookViews>
  <sheets>
    <sheet name="Planilha2" sheetId="5" r:id="rId1"/>
  </sheets>
  <definedNames>
    <definedName name="CC_originacao">#REF!,#REF!,#REF!,#REF!,#REF!</definedName>
    <definedName name="CC_PAC">#REF!,#REF!,#REF!,#REF!,#REF!</definedName>
    <definedName name="TAB_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5" l="1"/>
  <c r="E11" i="5"/>
  <c r="E2" i="5"/>
  <c r="E9" i="5"/>
  <c r="E10" i="5"/>
  <c r="E8" i="5"/>
  <c r="E7" i="5"/>
  <c r="E6" i="5"/>
  <c r="E4" i="5"/>
  <c r="E5" i="5"/>
</calcChain>
</file>

<file path=xl/sharedStrings.xml><?xml version="1.0" encoding="utf-8"?>
<sst xmlns="http://schemas.openxmlformats.org/spreadsheetml/2006/main" count="154" uniqueCount="59">
  <si>
    <t>05.0004</t>
  </si>
  <si>
    <t>CAIXA DE ISOPOR (8,5L)</t>
  </si>
  <si>
    <t>SACO PLASTICO 1KG - UNICA</t>
  </si>
  <si>
    <t>05.0073</t>
  </si>
  <si>
    <t>SACO PARA CONGELADOS</t>
  </si>
  <si>
    <t>05.0080</t>
  </si>
  <si>
    <t>CAIXA DE PAPELÃO 330X430X330mm</t>
  </si>
  <si>
    <t>05.0083</t>
  </si>
  <si>
    <t>FOLHA PE LISA 30X40</t>
  </si>
  <si>
    <t>05.0086</t>
  </si>
  <si>
    <t>RIBBON</t>
  </si>
  <si>
    <t>05.0087</t>
  </si>
  <si>
    <t>05.0092</t>
  </si>
  <si>
    <t>ABSORVENTE BRANCO</t>
  </si>
  <si>
    <t>05.0089</t>
  </si>
  <si>
    <t>FITA DE ARQUEAR</t>
  </si>
  <si>
    <t>05.0090</t>
  </si>
  <si>
    <t>SACO 500X800X0,16 AZUL</t>
  </si>
  <si>
    <t>05.0059</t>
  </si>
  <si>
    <t>FLR001</t>
  </si>
  <si>
    <t>04.0015</t>
  </si>
  <si>
    <t>RESÍDUO</t>
  </si>
  <si>
    <t>FILÉ SEM PELE IN NATURA</t>
  </si>
  <si>
    <t>unidade</t>
  </si>
  <si>
    <t>unidades</t>
  </si>
  <si>
    <t>metros</t>
  </si>
  <si>
    <t>ETIQUETA (unidades)</t>
  </si>
  <si>
    <t>SACO QUALY NP 350 X 450 X 120P</t>
  </si>
  <si>
    <t>03.0005</t>
  </si>
  <si>
    <t>TILAPIA INTEIRA FRESCA</t>
  </si>
  <si>
    <t>gramas</t>
  </si>
  <si>
    <t>PAC001</t>
  </si>
  <si>
    <t>PAC006</t>
  </si>
  <si>
    <t>PAC007</t>
  </si>
  <si>
    <t>PAC009</t>
  </si>
  <si>
    <t>EMB005</t>
  </si>
  <si>
    <t>RESFRIADO</t>
  </si>
  <si>
    <t>PELE SACO 12 KG</t>
  </si>
  <si>
    <t>kg</t>
  </si>
  <si>
    <t> </t>
  </si>
  <si>
    <t>0,17</t>
  </si>
  <si>
    <t>ETIQUETA</t>
  </si>
  <si>
    <t>FITA ADESIVA</t>
  </si>
  <si>
    <t>1,25</t>
  </si>
  <si>
    <t>VENTRECHA CONGELADA SACO 12 KG</t>
  </si>
  <si>
    <t>SACO GELOX</t>
  </si>
  <si>
    <t>PÓ GEL (GELOX)</t>
  </si>
  <si>
    <t>0,175</t>
  </si>
  <si>
    <t>EMB011</t>
  </si>
  <si>
    <t>BARRIGUINHA CONGELADA SACO 12 KG</t>
  </si>
  <si>
    <t>1,19</t>
  </si>
  <si>
    <t>2,68</t>
  </si>
  <si>
    <t>EMB001</t>
  </si>
  <si>
    <t>TILÁPIA INTEIRA NO GELO</t>
  </si>
  <si>
    <t>EMB009</t>
  </si>
  <si>
    <t>CONGELADO</t>
  </si>
  <si>
    <t>GELO</t>
  </si>
  <si>
    <t>0,68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</si>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</sst>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72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3" fillId="0" borderId="0" applyNumberFormat="0"/>
    <xf numFmtId="0" fontId="3" fillId="0" borderId="0" applyNumberFormat="0"/>
    <xf numFmtId="43" fontId="3" fillId="0" borderId="0" applyFont="0" applyFill="0" applyBorder="0" applyAlignment="0" applyProtection="0"/>
    <xf numFmtId="0" fontId="1" fillId="0" borderId="0"/>
    <xf numFmtId="0" fontId="1" fillId="4" borderId="1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49" fontId="0" fillId="3" borderId="0" xfId="0" applyNumberFormat="1" applyFill="1"/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right"/>
    </xf>
    <xf numFmtId="0" fontId="0" fillId="2" borderId="0" xfId="0" applyFill="1" applyAlignment="1">
      <alignment horizontal="center"/>
    </xf>
    <xf numFmtId="172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</cellXfs>
  <cellStyles count="8">
    <cellStyle name="Moeda 2" xfId="7" xr:uid="{01F3C453-B0C2-4C6C-9F02-9923135C562E}"/>
    <cellStyle name="Normal" xfId="0" builtinId="0"/>
    <cellStyle name="Normal 2" xfId="1" xr:uid="{02D8075B-CA6C-4F46-8554-44BA32A92C84}"/>
    <cellStyle name="normal 2 2" xfId="2" xr:uid="{568A4A00-011B-4AD1-91BB-5B0A21901021}"/>
    <cellStyle name="Normal 2 3" xfId="4" xr:uid="{791DC67F-FE59-4946-ABD5-D1EE6357E232}"/>
    <cellStyle name="Nota 2" xfId="5" xr:uid="{9284B4F2-4ADE-4771-9C59-230C1D770911}"/>
    <cellStyle name="Vírgula 2" xfId="6" xr:uid="{952522B1-8FFF-4EB4-BE8D-726259E6410D}"/>
    <cellStyle name="Vírgula 3" xfId="3" xr:uid="{6631DA8F-D9EF-4EC8-93D8-D3B2F4E7CD45}"/>
  </cellStyles>
  <dxfs count="0"/>
  <tableStyles count="1" defaultTableStyle="TableStyleMedium2" defaultPivotStyle="PivotStyleLight16">
    <tableStyle name="Invisible" pivot="0" table="0" count="0" xr9:uid="{3BBD26F2-FD7B-4D17-8322-D911BAF334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06696-ADEB-4DC6-B910-53BC7A507C47}">
  <dimension ref="A1:F59"/>
  <sheetViews>
    <sheetView tabSelected="1" workbookViewId="0">
      <selection activeCell="A55" sqref="A55"/>
    </sheetView>
  </sheetViews>
  <sheetFormatPr defaultRowHeight="15" x14ac:dyDescent="0.25"/>
  <cols>
    <col min="2" max="2" width="42" customWidth="1"/>
    <col min="3" max="3" width="10.42578125" customWidth="1"/>
    <col min="6" max="6" width="12.7109375" bestFit="1" customWidth="1"/>
    <col min="8" max="8" width="36.140625" customWidth="1"/>
  </cols>
  <sheetData>
    <row r="1" spans="1:6" x14ac:dyDescent="0.25">
      <c r="A1" s="1" t="s">
        <v>33</v>
      </c>
      <c r="B1" s="9" t="s">
        <v>35</v>
      </c>
      <c r="C1" s="1" t="s">
        <v>36</v>
      </c>
      <c r="D1" s="1"/>
      <c r="E1" s="1" t="s">
        <v>58</v>
      </c>
    </row>
    <row r="2" spans="1:6" x14ac:dyDescent="0.25">
      <c r="A2" s="2" t="s">
        <v>19</v>
      </c>
      <c r="B2" s="3" t="s">
        <v>22</v>
      </c>
      <c r="C2" s="3" t="s">
        <v>38</v>
      </c>
      <c r="D2" s="5">
        <v>5</v>
      </c>
      <c r="E2">
        <f>(8.02*37%)*D2</f>
        <v>14.836999999999998</v>
      </c>
      <c r="F2" t="s">
        <v>39</v>
      </c>
    </row>
    <row r="3" spans="1:6" x14ac:dyDescent="0.25">
      <c r="A3" s="2" t="s">
        <v>0</v>
      </c>
      <c r="B3" s="3" t="s">
        <v>1</v>
      </c>
      <c r="C3" s="3" t="s">
        <v>23</v>
      </c>
      <c r="D3" s="5">
        <v>1</v>
      </c>
      <c r="E3">
        <v>5.35</v>
      </c>
    </row>
    <row r="4" spans="1:6" x14ac:dyDescent="0.25">
      <c r="A4" s="2" t="s">
        <v>7</v>
      </c>
      <c r="B4" s="3" t="s">
        <v>8</v>
      </c>
      <c r="C4" s="3" t="s">
        <v>24</v>
      </c>
      <c r="D4" s="5">
        <v>3</v>
      </c>
      <c r="E4">
        <f>D4*0.06</f>
        <v>0.18</v>
      </c>
      <c r="F4" t="s">
        <v>39</v>
      </c>
    </row>
    <row r="5" spans="1:6" x14ac:dyDescent="0.25">
      <c r="A5" s="2" t="s">
        <v>9</v>
      </c>
      <c r="B5" s="3" t="s">
        <v>10</v>
      </c>
      <c r="C5" s="3" t="s">
        <v>25</v>
      </c>
      <c r="D5" s="5" t="s">
        <v>40</v>
      </c>
      <c r="E5">
        <f>D5*0.003</f>
        <v>5.1000000000000004E-4</v>
      </c>
      <c r="F5" t="s">
        <v>39</v>
      </c>
    </row>
    <row r="6" spans="1:6" x14ac:dyDescent="0.25">
      <c r="A6" s="2" t="s">
        <v>11</v>
      </c>
      <c r="B6" s="3" t="s">
        <v>42</v>
      </c>
      <c r="C6" s="3" t="s">
        <v>25</v>
      </c>
      <c r="D6" s="5" t="s">
        <v>43</v>
      </c>
      <c r="E6">
        <f>D6*0.057</f>
        <v>7.1250000000000008E-2</v>
      </c>
      <c r="F6" t="s">
        <v>39</v>
      </c>
    </row>
    <row r="7" spans="1:6" x14ac:dyDescent="0.25">
      <c r="A7" s="2"/>
      <c r="B7" s="3" t="s">
        <v>41</v>
      </c>
      <c r="C7" s="3" t="s">
        <v>23</v>
      </c>
      <c r="D7" s="5">
        <v>1</v>
      </c>
      <c r="E7">
        <f>D7*0.1863</f>
        <v>0.18629999999999999</v>
      </c>
      <c r="F7" t="s">
        <v>39</v>
      </c>
    </row>
    <row r="8" spans="1:6" x14ac:dyDescent="0.25">
      <c r="A8" s="2" t="s">
        <v>12</v>
      </c>
      <c r="B8" s="3" t="s">
        <v>13</v>
      </c>
      <c r="C8" s="3" t="s">
        <v>23</v>
      </c>
      <c r="D8" s="5">
        <v>3</v>
      </c>
      <c r="E8">
        <f>D8*0.072</f>
        <v>0.21599999999999997</v>
      </c>
      <c r="F8" t="s">
        <v>39</v>
      </c>
    </row>
    <row r="9" spans="1:6" x14ac:dyDescent="0.25">
      <c r="A9" s="4"/>
      <c r="B9" s="3" t="s">
        <v>45</v>
      </c>
      <c r="C9" s="3" t="s">
        <v>24</v>
      </c>
      <c r="D9" s="5">
        <v>1</v>
      </c>
      <c r="E9">
        <f>D9*0.074</f>
        <v>7.3999999999999996E-2</v>
      </c>
      <c r="F9" t="s">
        <v>39</v>
      </c>
    </row>
    <row r="10" spans="1:6" x14ac:dyDescent="0.25">
      <c r="A10" s="3"/>
      <c r="B10" s="3" t="s">
        <v>46</v>
      </c>
      <c r="C10" s="3" t="s">
        <v>30</v>
      </c>
      <c r="D10" s="5" t="s">
        <v>47</v>
      </c>
      <c r="E10">
        <f>D10*0.0002</f>
        <v>3.4999999999999997E-5</v>
      </c>
    </row>
    <row r="11" spans="1:6" x14ac:dyDescent="0.25">
      <c r="E11">
        <f>SUM(E2:E10)</f>
        <v>20.915094999999997</v>
      </c>
      <c r="F11" s="7">
        <f>(161880/5)*E11</f>
        <v>677147.11571999989</v>
      </c>
    </row>
    <row r="12" spans="1:6" x14ac:dyDescent="0.25">
      <c r="A12" s="1" t="s">
        <v>33</v>
      </c>
      <c r="B12" s="9" t="s">
        <v>48</v>
      </c>
      <c r="C12" s="1" t="s">
        <v>36</v>
      </c>
      <c r="D12" s="1"/>
    </row>
    <row r="13" spans="1:6" x14ac:dyDescent="0.25">
      <c r="A13" s="2" t="s">
        <v>19</v>
      </c>
      <c r="B13" s="3" t="s">
        <v>22</v>
      </c>
      <c r="C13" s="3" t="s">
        <v>38</v>
      </c>
      <c r="D13" s="5">
        <v>30</v>
      </c>
    </row>
    <row r="14" spans="1:6" x14ac:dyDescent="0.25">
      <c r="A14" s="2" t="s">
        <v>5</v>
      </c>
      <c r="B14" s="3" t="s">
        <v>6</v>
      </c>
      <c r="C14" s="3" t="s">
        <v>23</v>
      </c>
      <c r="D14" s="5">
        <v>1</v>
      </c>
    </row>
    <row r="15" spans="1:6" x14ac:dyDescent="0.25">
      <c r="A15" s="2" t="s">
        <v>18</v>
      </c>
      <c r="B15" s="3" t="s">
        <v>27</v>
      </c>
      <c r="C15" s="3" t="s">
        <v>23</v>
      </c>
      <c r="D15" s="5">
        <v>6</v>
      </c>
    </row>
    <row r="16" spans="1:6" x14ac:dyDescent="0.25">
      <c r="A16" s="2" t="s">
        <v>9</v>
      </c>
      <c r="B16" s="3" t="s">
        <v>10</v>
      </c>
      <c r="C16" s="3" t="s">
        <v>25</v>
      </c>
      <c r="D16" s="5" t="s">
        <v>50</v>
      </c>
    </row>
    <row r="17" spans="1:4" x14ac:dyDescent="0.25">
      <c r="A17" s="2" t="s">
        <v>14</v>
      </c>
      <c r="B17" s="3" t="s">
        <v>15</v>
      </c>
      <c r="C17" s="3" t="s">
        <v>25</v>
      </c>
      <c r="D17" s="5" t="s">
        <v>51</v>
      </c>
    </row>
    <row r="18" spans="1:4" x14ac:dyDescent="0.25">
      <c r="A18" s="2"/>
      <c r="B18" s="3" t="s">
        <v>26</v>
      </c>
      <c r="C18" s="3" t="s">
        <v>23</v>
      </c>
      <c r="D18" s="5">
        <v>7</v>
      </c>
    </row>
    <row r="20" spans="1:4" x14ac:dyDescent="0.25">
      <c r="A20" s="1" t="s">
        <v>34</v>
      </c>
      <c r="B20" s="9" t="s">
        <v>52</v>
      </c>
      <c r="C20" s="1" t="s">
        <v>36</v>
      </c>
      <c r="D20" s="1"/>
    </row>
    <row r="21" spans="1:4" x14ac:dyDescent="0.25">
      <c r="A21" s="2" t="s">
        <v>19</v>
      </c>
      <c r="B21" s="3" t="s">
        <v>22</v>
      </c>
      <c r="C21" s="3" t="s">
        <v>38</v>
      </c>
      <c r="D21" s="5">
        <v>1</v>
      </c>
    </row>
    <row r="22" spans="1:4" x14ac:dyDescent="0.25">
      <c r="A22" s="2" t="s">
        <v>18</v>
      </c>
      <c r="B22" s="3" t="s">
        <v>2</v>
      </c>
      <c r="C22" s="3" t="s">
        <v>23</v>
      </c>
      <c r="D22" s="5">
        <v>1</v>
      </c>
    </row>
    <row r="23" spans="1:4" x14ac:dyDescent="0.25">
      <c r="A23" s="2" t="s">
        <v>9</v>
      </c>
      <c r="B23" s="3" t="s">
        <v>10</v>
      </c>
      <c r="C23" s="3" t="s">
        <v>25</v>
      </c>
      <c r="D23" s="5" t="s">
        <v>40</v>
      </c>
    </row>
    <row r="24" spans="1:4" x14ac:dyDescent="0.25">
      <c r="A24" s="2"/>
      <c r="B24" s="3" t="s">
        <v>26</v>
      </c>
      <c r="C24" s="3" t="s">
        <v>23</v>
      </c>
      <c r="D24" s="5">
        <v>1</v>
      </c>
    </row>
    <row r="26" spans="1:4" x14ac:dyDescent="0.25">
      <c r="A26" s="1" t="s">
        <v>32</v>
      </c>
      <c r="B26" s="9" t="s">
        <v>54</v>
      </c>
      <c r="C26" s="1" t="s">
        <v>55</v>
      </c>
      <c r="D26" s="1"/>
    </row>
    <row r="27" spans="1:4" x14ac:dyDescent="0.25">
      <c r="A27" s="2" t="s">
        <v>19</v>
      </c>
      <c r="B27" s="3" t="s">
        <v>22</v>
      </c>
      <c r="C27" s="3" t="s">
        <v>38</v>
      </c>
      <c r="D27" s="5">
        <v>15</v>
      </c>
    </row>
    <row r="28" spans="1:4" x14ac:dyDescent="0.25">
      <c r="A28" s="2" t="s">
        <v>5</v>
      </c>
      <c r="B28" s="3" t="s">
        <v>6</v>
      </c>
      <c r="C28" s="3" t="s">
        <v>23</v>
      </c>
      <c r="D28" s="5">
        <v>1</v>
      </c>
    </row>
    <row r="29" spans="1:4" x14ac:dyDescent="0.25">
      <c r="A29" s="2" t="s">
        <v>3</v>
      </c>
      <c r="B29" s="3" t="s">
        <v>4</v>
      </c>
      <c r="C29" s="3" t="s">
        <v>23</v>
      </c>
      <c r="D29" s="5">
        <v>3</v>
      </c>
    </row>
    <row r="30" spans="1:4" x14ac:dyDescent="0.25">
      <c r="A30" s="2" t="s">
        <v>9</v>
      </c>
      <c r="B30" s="3" t="s">
        <v>10</v>
      </c>
      <c r="C30" s="3" t="s">
        <v>25</v>
      </c>
      <c r="D30" s="5" t="s">
        <v>57</v>
      </c>
    </row>
    <row r="31" spans="1:4" x14ac:dyDescent="0.25">
      <c r="A31" s="2" t="s">
        <v>14</v>
      </c>
      <c r="B31" s="3" t="s">
        <v>15</v>
      </c>
      <c r="C31" s="3" t="s">
        <v>25</v>
      </c>
      <c r="D31" s="5" t="s">
        <v>51</v>
      </c>
    </row>
    <row r="32" spans="1:4" x14ac:dyDescent="0.25">
      <c r="A32" s="2"/>
      <c r="B32" s="3" t="s">
        <v>26</v>
      </c>
      <c r="C32" s="3" t="s">
        <v>23</v>
      </c>
      <c r="D32" s="5">
        <v>4</v>
      </c>
    </row>
    <row r="34" spans="1:4" x14ac:dyDescent="0.25">
      <c r="A34" s="8" t="s">
        <v>37</v>
      </c>
      <c r="B34" s="8"/>
      <c r="C34" s="8"/>
      <c r="D34" s="8"/>
    </row>
    <row r="35" spans="1:4" x14ac:dyDescent="0.25">
      <c r="A35" s="2" t="s">
        <v>20</v>
      </c>
      <c r="B35" s="3" t="s">
        <v>21</v>
      </c>
      <c r="C35" s="3" t="s">
        <v>38</v>
      </c>
      <c r="D35" s="5">
        <v>12</v>
      </c>
    </row>
    <row r="36" spans="1:4" x14ac:dyDescent="0.25">
      <c r="A36" s="2" t="s">
        <v>9</v>
      </c>
      <c r="B36" s="3" t="s">
        <v>10</v>
      </c>
      <c r="C36" s="3" t="s">
        <v>25</v>
      </c>
      <c r="D36" s="5" t="s">
        <v>40</v>
      </c>
    </row>
    <row r="37" spans="1:4" x14ac:dyDescent="0.25">
      <c r="A37" s="2"/>
      <c r="B37" s="3" t="s">
        <v>41</v>
      </c>
      <c r="C37" s="3" t="s">
        <v>23</v>
      </c>
      <c r="D37" s="5">
        <v>1</v>
      </c>
    </row>
    <row r="38" spans="1:4" x14ac:dyDescent="0.25">
      <c r="A38" s="2" t="s">
        <v>16</v>
      </c>
      <c r="B38" s="3" t="s">
        <v>17</v>
      </c>
      <c r="C38" s="3" t="s">
        <v>23</v>
      </c>
      <c r="D38" s="5">
        <v>1</v>
      </c>
    </row>
    <row r="39" spans="1:4" x14ac:dyDescent="0.25">
      <c r="A39" t="s">
        <v>39</v>
      </c>
      <c r="B39" t="s">
        <v>39</v>
      </c>
    </row>
    <row r="40" spans="1:4" x14ac:dyDescent="0.25">
      <c r="A40" t="s">
        <v>39</v>
      </c>
      <c r="B40" t="s">
        <v>39</v>
      </c>
    </row>
    <row r="41" spans="1:4" x14ac:dyDescent="0.25">
      <c r="A41" s="8" t="s">
        <v>44</v>
      </c>
      <c r="B41" s="8"/>
      <c r="C41" s="8"/>
      <c r="D41" s="8"/>
    </row>
    <row r="42" spans="1:4" x14ac:dyDescent="0.25">
      <c r="A42" s="2" t="s">
        <v>20</v>
      </c>
      <c r="B42" s="3" t="s">
        <v>21</v>
      </c>
      <c r="C42" s="3" t="s">
        <v>38</v>
      </c>
      <c r="D42" s="5">
        <v>12</v>
      </c>
    </row>
    <row r="43" spans="1:4" x14ac:dyDescent="0.25">
      <c r="A43" s="2" t="s">
        <v>9</v>
      </c>
      <c r="B43" s="3" t="s">
        <v>10</v>
      </c>
      <c r="C43" s="3" t="s">
        <v>25</v>
      </c>
      <c r="D43" s="5" t="s">
        <v>40</v>
      </c>
    </row>
    <row r="44" spans="1:4" x14ac:dyDescent="0.25">
      <c r="A44" s="2"/>
      <c r="B44" s="3" t="s">
        <v>41</v>
      </c>
      <c r="C44" s="3" t="s">
        <v>23</v>
      </c>
      <c r="D44" s="5">
        <v>1</v>
      </c>
    </row>
    <row r="45" spans="1:4" x14ac:dyDescent="0.25">
      <c r="A45" s="2" t="s">
        <v>16</v>
      </c>
      <c r="B45" s="3" t="s">
        <v>17</v>
      </c>
      <c r="C45" s="3" t="s">
        <v>23</v>
      </c>
      <c r="D45" s="5">
        <v>1</v>
      </c>
    </row>
    <row r="47" spans="1:4" x14ac:dyDescent="0.25">
      <c r="B47" t="s">
        <v>39</v>
      </c>
    </row>
    <row r="48" spans="1:4" x14ac:dyDescent="0.25">
      <c r="A48" s="8" t="s">
        <v>49</v>
      </c>
      <c r="B48" s="8"/>
      <c r="C48" s="8"/>
      <c r="D48" s="8"/>
    </row>
    <row r="49" spans="1:4" x14ac:dyDescent="0.25">
      <c r="A49" s="2" t="s">
        <v>20</v>
      </c>
      <c r="B49" s="3" t="s">
        <v>21</v>
      </c>
      <c r="C49" s="3" t="s">
        <v>38</v>
      </c>
      <c r="D49" s="5">
        <v>12</v>
      </c>
    </row>
    <row r="50" spans="1:4" x14ac:dyDescent="0.25">
      <c r="A50" s="2" t="s">
        <v>9</v>
      </c>
      <c r="B50" s="3" t="s">
        <v>10</v>
      </c>
      <c r="C50" s="3" t="s">
        <v>25</v>
      </c>
      <c r="D50" s="5" t="s">
        <v>40</v>
      </c>
    </row>
    <row r="51" spans="1:4" x14ac:dyDescent="0.25">
      <c r="A51" s="2"/>
      <c r="B51" s="3" t="s">
        <v>41</v>
      </c>
      <c r="C51" s="3" t="s">
        <v>23</v>
      </c>
      <c r="D51" s="5">
        <v>1</v>
      </c>
    </row>
    <row r="52" spans="1:4" x14ac:dyDescent="0.25">
      <c r="A52" s="2" t="s">
        <v>16</v>
      </c>
      <c r="B52" s="3" t="s">
        <v>17</v>
      </c>
      <c r="C52" s="3" t="s">
        <v>23</v>
      </c>
      <c r="D52" s="5">
        <v>1</v>
      </c>
    </row>
    <row r="55" spans="1:4" x14ac:dyDescent="0.25">
      <c r="A55" s="1" t="s">
        <v>31</v>
      </c>
      <c r="B55" s="6" t="s">
        <v>53</v>
      </c>
      <c r="C55" s="1"/>
      <c r="D55" s="1"/>
    </row>
    <row r="56" spans="1:4" x14ac:dyDescent="0.25">
      <c r="A56" s="2" t="s">
        <v>28</v>
      </c>
      <c r="B56" s="3" t="s">
        <v>29</v>
      </c>
      <c r="C56" s="3" t="s">
        <v>38</v>
      </c>
      <c r="D56" s="5">
        <v>20</v>
      </c>
    </row>
    <row r="57" spans="1:4" x14ac:dyDescent="0.25">
      <c r="A57" s="2" t="s">
        <v>9</v>
      </c>
      <c r="B57" s="3" t="s">
        <v>10</v>
      </c>
      <c r="C57" s="3" t="s">
        <v>25</v>
      </c>
      <c r="D57" s="5" t="s">
        <v>40</v>
      </c>
    </row>
    <row r="58" spans="1:4" x14ac:dyDescent="0.25">
      <c r="A58" s="2"/>
      <c r="B58" s="3" t="s">
        <v>41</v>
      </c>
      <c r="C58" s="3" t="s">
        <v>23</v>
      </c>
      <c r="D58" s="5">
        <v>1</v>
      </c>
    </row>
    <row r="59" spans="1:4" x14ac:dyDescent="0.25">
      <c r="A59" s="2"/>
      <c r="B59" s="3" t="s">
        <v>56</v>
      </c>
      <c r="C59" s="3" t="s">
        <v>38</v>
      </c>
      <c r="D59" s="5">
        <v>15</v>
      </c>
    </row>
  </sheetData>
  <mergeCells count="3">
    <mergeCell ref="A34:D34"/>
    <mergeCell ref="A41:D41"/>
    <mergeCell ref="A48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Danieli Aragao</dc:creator>
  <cp:keywords/>
  <dc:description/>
  <cp:lastModifiedBy>Vanessa Santos Ferreira</cp:lastModifiedBy>
  <cp:revision/>
  <dcterms:created xsi:type="dcterms:W3CDTF">2024-07-05T12:26:00Z</dcterms:created>
  <dcterms:modified xsi:type="dcterms:W3CDTF">2026-02-17T17:54:20Z</dcterms:modified>
  <cp:category/>
  <cp:contentStatus/>
</cp:coreProperties>
</file>