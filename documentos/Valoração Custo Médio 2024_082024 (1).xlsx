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0E418E33-7D1D-4A58-9A9F-B451DF173625}" xr6:coauthVersionLast="47" xr6:coauthVersionMax="47" xr10:uidLastSave="{00000000-0000-0000-0000-000000000000}"/>
  <bookViews>
    <workbookView xWindow="-120" yWindow="-120" windowWidth="20730" windowHeight="11040" tabRatio="646" firstSheet="1" activeTab="3" xr2:uid="{10E36108-4612-4BB4-9C45-3B9F40C83E44}"/>
  </bookViews>
  <sheets>
    <sheet name="custo unitário INSUMOS" sheetId="2" r:id="rId1"/>
    <sheet name="estruturas MODELOS" sheetId="1" r:id="rId2"/>
    <sheet name="CUSTO 2024" sheetId="3" r:id="rId3"/>
    <sheet name="Planilha2" sheetId="5" r:id="rId4"/>
  </sheets>
  <definedNames>
    <definedName name="CC_originacao">#REF!,#REF!,#REF!,#REF!,#REF!</definedName>
    <definedName name="CC_PAC">#REF!,#REF!,#REF!,#REF!,#REF!</definedName>
    <definedName name="TAB_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5" l="1"/>
  <c r="E11" i="5"/>
  <c r="E2" i="5"/>
  <c r="E9" i="5"/>
  <c r="E10" i="5"/>
  <c r="E8" i="5"/>
  <c r="E7" i="5"/>
  <c r="E6" i="5"/>
  <c r="E4" i="5"/>
  <c r="E5" i="5"/>
  <c r="D98" i="3"/>
  <c r="D94" i="3"/>
  <c r="D102" i="3" s="1"/>
  <c r="K14" i="2" l="1"/>
  <c r="P3" i="2"/>
  <c r="P2" i="2"/>
  <c r="P7" i="3" l="1"/>
  <c r="D118" i="3" l="1"/>
  <c r="L27" i="2"/>
  <c r="I105" i="3" l="1"/>
  <c r="H105" i="3"/>
  <c r="G105" i="3"/>
  <c r="F105" i="3"/>
  <c r="E105" i="3"/>
  <c r="D105" i="3"/>
  <c r="O63" i="3"/>
  <c r="N63" i="3"/>
  <c r="M63" i="3"/>
  <c r="L63" i="3"/>
  <c r="K63" i="3"/>
  <c r="J63" i="3"/>
  <c r="I63" i="3"/>
  <c r="H63" i="3"/>
  <c r="G63" i="3"/>
  <c r="F63" i="3"/>
  <c r="E63" i="3"/>
  <c r="D63" i="3"/>
  <c r="E118" i="3" l="1"/>
  <c r="P3" i="3"/>
  <c r="P101" i="3"/>
  <c r="P62" i="3"/>
  <c r="P61" i="3"/>
  <c r="P60" i="3"/>
  <c r="P59" i="3"/>
  <c r="P58" i="3"/>
  <c r="P57" i="3"/>
  <c r="P56" i="3"/>
  <c r="P55" i="3"/>
  <c r="P54" i="3"/>
  <c r="P53" i="3"/>
  <c r="P52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6" i="3"/>
  <c r="P25" i="3"/>
  <c r="P24" i="3"/>
  <c r="P23" i="3"/>
  <c r="P22" i="3"/>
  <c r="P21" i="3"/>
  <c r="P20" i="3"/>
  <c r="P19" i="3"/>
  <c r="P18" i="3"/>
  <c r="P12" i="3"/>
  <c r="P11" i="3"/>
  <c r="P6" i="3"/>
  <c r="P5" i="3"/>
  <c r="P4" i="3"/>
  <c r="P2" i="3"/>
  <c r="K30" i="2"/>
  <c r="L30" i="2" s="1"/>
  <c r="E121" i="1"/>
  <c r="E120" i="1"/>
  <c r="E118" i="1"/>
  <c r="E108" i="1"/>
  <c r="E107" i="1"/>
  <c r="E105" i="1"/>
  <c r="E97" i="1"/>
  <c r="E96" i="1"/>
  <c r="E94" i="1"/>
  <c r="E50" i="1"/>
  <c r="E49" i="1"/>
  <c r="E47" i="1"/>
  <c r="P63" i="3" l="1"/>
  <c r="E170" i="1"/>
  <c r="P4" i="2"/>
  <c r="O2" i="2"/>
  <c r="L19" i="2" l="1"/>
  <c r="L11" i="2"/>
  <c r="L3" i="2"/>
  <c r="L18" i="2"/>
  <c r="L10" i="2"/>
  <c r="L2" i="2"/>
  <c r="E160" i="1"/>
  <c r="L17" i="2"/>
  <c r="L9" i="2"/>
  <c r="L5" i="2"/>
  <c r="L25" i="2"/>
  <c r="L16" i="2"/>
  <c r="L8" i="2"/>
  <c r="L4" i="2"/>
  <c r="L24" i="2"/>
  <c r="L15" i="2"/>
  <c r="L7" i="2"/>
  <c r="L13" i="2"/>
  <c r="L20" i="2"/>
  <c r="L23" i="2"/>
  <c r="L14" i="2"/>
  <c r="L6" i="2"/>
  <c r="L21" i="2"/>
  <c r="L12" i="2"/>
  <c r="E93" i="1" l="1"/>
  <c r="E104" i="1"/>
  <c r="E117" i="1"/>
  <c r="E46" i="1"/>
  <c r="E185" i="1"/>
  <c r="E184" i="1"/>
  <c r="E162" i="1"/>
  <c r="E161" i="1"/>
  <c r="E148" i="1"/>
  <c r="E147" i="1"/>
  <c r="E146" i="1"/>
  <c r="E139" i="1"/>
  <c r="E138" i="1"/>
  <c r="E137" i="1"/>
  <c r="E130" i="1"/>
  <c r="E129" i="1"/>
  <c r="E39" i="1"/>
  <c r="E38" i="1"/>
  <c r="E36" i="1"/>
  <c r="E35" i="1"/>
  <c r="E28" i="1"/>
  <c r="E27" i="1"/>
  <c r="E17" i="1"/>
  <c r="E15" i="1"/>
  <c r="E14" i="1"/>
  <c r="E13" i="1"/>
  <c r="E11" i="1"/>
  <c r="E10" i="1"/>
  <c r="E9" i="1"/>
  <c r="O3" i="2"/>
  <c r="O4" i="2" s="1"/>
  <c r="K25" i="2"/>
  <c r="K24" i="2"/>
  <c r="K23" i="2"/>
  <c r="K21" i="2"/>
  <c r="K18" i="2"/>
  <c r="K15" i="2"/>
  <c r="E28" i="2"/>
  <c r="K28" i="2" s="1"/>
  <c r="L28" i="2" s="1"/>
  <c r="P86" i="3"/>
  <c r="E25" i="2"/>
  <c r="E24" i="2"/>
  <c r="E21" i="2"/>
  <c r="E18" i="2"/>
  <c r="E15" i="2"/>
  <c r="E14" i="2"/>
  <c r="D146" i="1"/>
  <c r="D137" i="1"/>
  <c r="D128" i="1"/>
  <c r="E128" i="1" s="1"/>
  <c r="D119" i="1"/>
  <c r="E119" i="1" s="1"/>
  <c r="D106" i="1"/>
  <c r="E106" i="1" s="1"/>
  <c r="D95" i="1"/>
  <c r="E95" i="1" s="1"/>
  <c r="D92" i="1"/>
  <c r="D103" i="1" s="1"/>
  <c r="E85" i="1"/>
  <c r="D83" i="1"/>
  <c r="D80" i="1"/>
  <c r="E74" i="1"/>
  <c r="D72" i="1"/>
  <c r="D69" i="1"/>
  <c r="E63" i="1"/>
  <c r="D61" i="1"/>
  <c r="D58" i="1"/>
  <c r="D48" i="1"/>
  <c r="E48" i="1" s="1"/>
  <c r="D45" i="1"/>
  <c r="D37" i="1"/>
  <c r="E37" i="1" s="1"/>
  <c r="D34" i="1"/>
  <c r="D26" i="1"/>
  <c r="E26" i="1" s="1"/>
  <c r="D25" i="1"/>
  <c r="D12" i="1"/>
  <c r="E12" i="1" s="1"/>
  <c r="E116" i="1" l="1"/>
  <c r="E92" i="1"/>
  <c r="E103" i="1"/>
  <c r="E29" i="2"/>
  <c r="K29" i="2" s="1"/>
  <c r="L29" i="2" s="1"/>
  <c r="E154" i="1" s="1"/>
  <c r="E45" i="1"/>
  <c r="E8" i="1"/>
  <c r="E25" i="1"/>
  <c r="E34" i="1"/>
  <c r="E164" i="1"/>
  <c r="F164" i="1" s="1"/>
  <c r="E187" i="1"/>
  <c r="B75" i="3" l="1"/>
  <c r="B77" i="3"/>
  <c r="B76" i="3"/>
  <c r="D136" i="1"/>
  <c r="E136" i="1" s="1"/>
  <c r="E141" i="1" s="1"/>
  <c r="F141" i="1" s="1"/>
  <c r="D145" i="1"/>
  <c r="E145" i="1" s="1"/>
  <c r="E150" i="1" s="1"/>
  <c r="F150" i="1" s="1"/>
  <c r="B79" i="3" s="1"/>
  <c r="D177" i="1"/>
  <c r="E177" i="1" s="1"/>
  <c r="E179" i="1" s="1"/>
  <c r="F179" i="1" s="1"/>
  <c r="D169" i="1"/>
  <c r="E169" i="1" s="1"/>
  <c r="E172" i="1" s="1"/>
  <c r="F172" i="1" s="1"/>
  <c r="B85" i="3" s="1"/>
  <c r="D127" i="1"/>
  <c r="E127" i="1" s="1"/>
  <c r="E132" i="1" s="1"/>
  <c r="F132" i="1" s="1"/>
  <c r="B81" i="3" s="1"/>
  <c r="E123" i="1"/>
  <c r="F123" i="1" s="1"/>
  <c r="E30" i="1"/>
  <c r="F30" i="1" s="1"/>
  <c r="B71" i="3" s="1"/>
  <c r="E110" i="1"/>
  <c r="F110" i="1" s="1"/>
  <c r="B70" i="3" s="1"/>
  <c r="E41" i="1"/>
  <c r="F41" i="1" s="1"/>
  <c r="E99" i="1"/>
  <c r="F99" i="1" s="1"/>
  <c r="B68" i="3" s="1"/>
  <c r="E52" i="1"/>
  <c r="F52" i="1" s="1"/>
  <c r="E19" i="1"/>
  <c r="F19" i="1" s="1"/>
  <c r="B69" i="3" s="1"/>
  <c r="E20" i="1"/>
  <c r="F20" i="1" s="1"/>
  <c r="K79" i="3" l="1"/>
  <c r="K68" i="3"/>
  <c r="K81" i="3"/>
  <c r="K71" i="3"/>
  <c r="K77" i="3"/>
  <c r="K69" i="3"/>
  <c r="K70" i="3"/>
  <c r="O75" i="3"/>
  <c r="K75" i="3"/>
  <c r="M79" i="3"/>
  <c r="N79" i="3"/>
  <c r="O79" i="3"/>
  <c r="L79" i="3"/>
  <c r="N70" i="3"/>
  <c r="O70" i="3"/>
  <c r="L70" i="3"/>
  <c r="M70" i="3"/>
  <c r="M71" i="3"/>
  <c r="L71" i="3"/>
  <c r="N71" i="3"/>
  <c r="O71" i="3"/>
  <c r="L75" i="3"/>
  <c r="N75" i="3"/>
  <c r="N68" i="3"/>
  <c r="M68" i="3"/>
  <c r="O68" i="3"/>
  <c r="L68" i="3"/>
  <c r="L81" i="3"/>
  <c r="O81" i="3"/>
  <c r="N81" i="3"/>
  <c r="M81" i="3"/>
  <c r="M75" i="3"/>
  <c r="O69" i="3"/>
  <c r="N69" i="3"/>
  <c r="M69" i="3"/>
  <c r="L69" i="3"/>
  <c r="I97" i="3"/>
  <c r="E97" i="3"/>
  <c r="J97" i="3"/>
  <c r="M87" i="3"/>
  <c r="M97" i="3" s="1"/>
  <c r="H97" i="3"/>
  <c r="K87" i="3"/>
  <c r="K97" i="3" s="1"/>
  <c r="F97" i="3"/>
  <c r="N87" i="3"/>
  <c r="N97" i="3" s="1"/>
  <c r="O87" i="3"/>
  <c r="O97" i="3" s="1"/>
  <c r="G97" i="3"/>
  <c r="L87" i="3"/>
  <c r="L97" i="3" s="1"/>
  <c r="O76" i="3"/>
  <c r="L76" i="3"/>
  <c r="M76" i="3"/>
  <c r="K76" i="3"/>
  <c r="N76" i="3"/>
  <c r="L77" i="3"/>
  <c r="M77" i="3"/>
  <c r="N77" i="3"/>
  <c r="O77" i="3"/>
  <c r="E156" i="1"/>
  <c r="F156" i="1" s="1"/>
  <c r="K72" i="3" l="1"/>
  <c r="K98" i="3" s="1"/>
  <c r="P81" i="3"/>
  <c r="P79" i="3"/>
  <c r="P75" i="3"/>
  <c r="P76" i="3"/>
  <c r="P77" i="3"/>
  <c r="E98" i="3"/>
  <c r="G98" i="3"/>
  <c r="M72" i="3"/>
  <c r="M98" i="3" s="1"/>
  <c r="H98" i="3"/>
  <c r="P85" i="3"/>
  <c r="P68" i="3"/>
  <c r="N72" i="3"/>
  <c r="N98" i="3" s="1"/>
  <c r="L72" i="3"/>
  <c r="L98" i="3" s="1"/>
  <c r="P71" i="3"/>
  <c r="J98" i="3"/>
  <c r="O72" i="3"/>
  <c r="O98" i="3" s="1"/>
  <c r="P70" i="3"/>
  <c r="B80" i="3"/>
  <c r="B78" i="3"/>
  <c r="K78" i="3" s="1"/>
  <c r="P69" i="3"/>
  <c r="I98" i="3"/>
  <c r="F98" i="3"/>
  <c r="K80" i="3" l="1"/>
  <c r="E95" i="3"/>
  <c r="G95" i="3"/>
  <c r="I95" i="3"/>
  <c r="H95" i="3"/>
  <c r="D95" i="3"/>
  <c r="P72" i="3"/>
  <c r="K95" i="3"/>
  <c r="F95" i="3"/>
  <c r="O95" i="3"/>
  <c r="O80" i="3"/>
  <c r="L80" i="3"/>
  <c r="M80" i="3"/>
  <c r="N80" i="3"/>
  <c r="L95" i="3"/>
  <c r="N95" i="3"/>
  <c r="L78" i="3"/>
  <c r="O78" i="3"/>
  <c r="M78" i="3"/>
  <c r="N78" i="3"/>
  <c r="J95" i="3"/>
  <c r="M95" i="3"/>
  <c r="D97" i="3"/>
  <c r="P97" i="3" s="1"/>
  <c r="P87" i="3"/>
  <c r="J96" i="3" l="1"/>
  <c r="J94" i="3" s="1"/>
  <c r="P78" i="3"/>
  <c r="P80" i="3"/>
  <c r="E96" i="3"/>
  <c r="G96" i="3"/>
  <c r="G94" i="3" s="1"/>
  <c r="F96" i="3"/>
  <c r="F94" i="3" s="1"/>
  <c r="K82" i="3"/>
  <c r="K96" i="3" s="1"/>
  <c r="K94" i="3" s="1"/>
  <c r="L82" i="3"/>
  <c r="L96" i="3" s="1"/>
  <c r="I96" i="3"/>
  <c r="M82" i="3"/>
  <c r="M96" i="3" s="1"/>
  <c r="M94" i="3" s="1"/>
  <c r="O82" i="3"/>
  <c r="O96" i="3" s="1"/>
  <c r="O94" i="3" s="1"/>
  <c r="H96" i="3"/>
  <c r="H94" i="3" s="1"/>
  <c r="N82" i="3"/>
  <c r="N96" i="3" s="1"/>
  <c r="N94" i="3" s="1"/>
  <c r="E94" i="3" l="1"/>
  <c r="I94" i="3"/>
  <c r="G102" i="3"/>
  <c r="H102" i="3"/>
  <c r="P82" i="3"/>
  <c r="D96" i="3"/>
  <c r="P95" i="3"/>
  <c r="F102" i="3"/>
  <c r="L94" i="3"/>
  <c r="I102" i="3" l="1"/>
  <c r="E102" i="3"/>
  <c r="P96" i="3"/>
  <c r="P98" i="3" l="1"/>
  <c r="P94" i="3" s="1"/>
  <c r="P102" i="3" s="1"/>
</calcChain>
</file>

<file path=xl/sharedStrings.xml><?xml version="1.0" encoding="utf-8"?>
<sst xmlns="http://schemas.openxmlformats.org/spreadsheetml/2006/main" count="806" uniqueCount="299">
  <si>
    <t>CÓDIGOS
ANTIGO</t>
  </si>
  <si>
    <t>CÓDIGOS</t>
  </si>
  <si>
    <t>INSUMOS NAS ESTRUTURAS</t>
  </si>
  <si>
    <t>unidade de compra</t>
  </si>
  <si>
    <t>vlr unitário</t>
  </si>
  <si>
    <t>data entrada</t>
  </si>
  <si>
    <t>NF</t>
  </si>
  <si>
    <t>Fornecedor</t>
  </si>
  <si>
    <t>unidade de estoque</t>
  </si>
  <si>
    <t>vlr unit pela unidade de estoque</t>
  </si>
  <si>
    <t>vlr unit pela unidade de estoque SEM TRIBUTOS</t>
  </si>
  <si>
    <t>pis, cofins, icms</t>
  </si>
  <si>
    <t>pis, cofins</t>
  </si>
  <si>
    <t>05.0004</t>
  </si>
  <si>
    <t>CAIXA DE ISOPOR (8,5L)</t>
  </si>
  <si>
    <t>UN</t>
  </si>
  <si>
    <t>05.0020</t>
  </si>
  <si>
    <t>SACO PLASTICO 1KG - UNICA</t>
  </si>
  <si>
    <t>MI</t>
  </si>
  <si>
    <t>05.0032</t>
  </si>
  <si>
    <t>SACO GOODFISH 500g</t>
  </si>
  <si>
    <t>sem entrada com nota fiscal</t>
  </si>
  <si>
    <t>-</t>
  </si>
  <si>
    <t>05.0033</t>
  </si>
  <si>
    <t>SACO QUALYFISH 400g</t>
  </si>
  <si>
    <t>05.0034</t>
  </si>
  <si>
    <t>SACO QUALYFISH 800g</t>
  </si>
  <si>
    <t>05.0046</t>
  </si>
  <si>
    <t>ETQ AZUL</t>
  </si>
  <si>
    <t>05.0047</t>
  </si>
  <si>
    <t>ETQ VERDE</t>
  </si>
  <si>
    <t>05.0048</t>
  </si>
  <si>
    <t>ETIQUETA VERMELHA - GG</t>
  </si>
  <si>
    <t>05.0049</t>
  </si>
  <si>
    <t>ETQ BRANCA</t>
  </si>
  <si>
    <t>05.0073</t>
  </si>
  <si>
    <t>SACO PARA CONGELADOS</t>
  </si>
  <si>
    <t>05.0080</t>
  </si>
  <si>
    <t>CAIXA DE PAPELÃO 330X430X330mm</t>
  </si>
  <si>
    <t>UN - MI</t>
  </si>
  <si>
    <t>6,31 e 5,70</t>
  </si>
  <si>
    <t>7275 - 63951</t>
  </si>
  <si>
    <t>13701 - 13433</t>
  </si>
  <si>
    <t>05.0083</t>
  </si>
  <si>
    <t>FOLHA PE LISA 30X40</t>
  </si>
  <si>
    <t>05.0078</t>
  </si>
  <si>
    <t>05.0086</t>
  </si>
  <si>
    <t>RIBBON</t>
  </si>
  <si>
    <t>RL</t>
  </si>
  <si>
    <t>Conversão baseada cada rolo com 300 mt (110mm X 300mt)</t>
  </si>
  <si>
    <t>M</t>
  </si>
  <si>
    <t>05.0061</t>
  </si>
  <si>
    <t>05.0087</t>
  </si>
  <si>
    <t xml:space="preserve">FITA ADESIVA </t>
  </si>
  <si>
    <t>Conversão baseada cada rolo com 100 mt (FITA ADESIVA HM 45MM X 100M)</t>
  </si>
  <si>
    <t>05.0015</t>
  </si>
  <si>
    <t>05.0088</t>
  </si>
  <si>
    <t>ABSORVENTE PRETO</t>
  </si>
  <si>
    <t>CX</t>
  </si>
  <si>
    <t>Conversão baseada cada cx 2000 unidades</t>
  </si>
  <si>
    <t>05.0092</t>
  </si>
  <si>
    <t>ABSORVENTE BRANCO</t>
  </si>
  <si>
    <t>Conversão baseada cada cx 3000 unidades</t>
  </si>
  <si>
    <t>05.0075</t>
  </si>
  <si>
    <t>05.0089</t>
  </si>
  <si>
    <t>FITA DE ARQUEAR</t>
  </si>
  <si>
    <t>Conversão baseada cada rolo com 3000 mt (FITA SOLDA 10X0,65 MM 3000 BRANCA)</t>
  </si>
  <si>
    <t>05.0050</t>
  </si>
  <si>
    <t>05.0090</t>
  </si>
  <si>
    <t>SACO 500X800X0,16 AZUL</t>
  </si>
  <si>
    <t>06.1131</t>
  </si>
  <si>
    <t>05.0091</t>
  </si>
  <si>
    <t>SACO RAFIA</t>
  </si>
  <si>
    <t>SC</t>
  </si>
  <si>
    <t>05.0059</t>
  </si>
  <si>
    <t>SACO QUALY NP 350X450X120P</t>
  </si>
  <si>
    <t>04.0018</t>
  </si>
  <si>
    <t>GELOX</t>
  </si>
  <si>
    <t>UNIDADE</t>
  </si>
  <si>
    <t>05.0019</t>
  </si>
  <si>
    <t>05.0093</t>
  </si>
  <si>
    <t>PO QUIMICO GEL PACK - UNICA</t>
  </si>
  <si>
    <t>KG</t>
  </si>
  <si>
    <t>GR</t>
  </si>
  <si>
    <t>05.0017</t>
  </si>
  <si>
    <t>SACO GEL PACK - UNICA</t>
  </si>
  <si>
    <t>05.0027</t>
  </si>
  <si>
    <t>PEIXE VIVO</t>
  </si>
  <si>
    <t>1 KG DE PEIXE</t>
  </si>
  <si>
    <t>FLR001</t>
  </si>
  <si>
    <t>FILE SEM PELE IN NATURA</t>
  </si>
  <si>
    <t>RENDIMENTO/KG</t>
  </si>
  <si>
    <t>1 KG DE FILÉ</t>
  </si>
  <si>
    <t>04.0015</t>
  </si>
  <si>
    <t>RESÍDUO</t>
  </si>
  <si>
    <t>1 KG DE RESÍDUO</t>
  </si>
  <si>
    <t>EVISCERADA</t>
  </si>
  <si>
    <t>EVICESRADA</t>
  </si>
  <si>
    <t>BASE ATUALIZADA EM:</t>
  </si>
  <si>
    <t>Código</t>
  </si>
  <si>
    <t>Derivação</t>
  </si>
  <si>
    <t>Unid</t>
  </si>
  <si>
    <t>Qtde</t>
  </si>
  <si>
    <t>Custo por PA</t>
  </si>
  <si>
    <t>Custo por KG</t>
  </si>
  <si>
    <t>RESFRIADOS</t>
  </si>
  <si>
    <t>DIVERSOS</t>
  </si>
  <si>
    <t>DERIVACAO EMB005</t>
  </si>
  <si>
    <t>CAIXA DE ISOPOR 5kg</t>
  </si>
  <si>
    <t>PA - 5KG</t>
  </si>
  <si>
    <t>FILÉ SEM PELE IN NATURA</t>
  </si>
  <si>
    <t>KG - RENDIMENTO</t>
  </si>
  <si>
    <t>unidade</t>
  </si>
  <si>
    <t>unidades</t>
  </si>
  <si>
    <t>metros</t>
  </si>
  <si>
    <t>OU</t>
  </si>
  <si>
    <t>c/ ABS PRETO</t>
  </si>
  <si>
    <t>Custo</t>
  </si>
  <si>
    <t>c/ ABS BRANCO</t>
  </si>
  <si>
    <t>PA</t>
  </si>
  <si>
    <t>02.0030</t>
  </si>
  <si>
    <t>FILE DE TILAPIA RESFR. 100 UP MRN - VACUO 1KG</t>
  </si>
  <si>
    <t>DERIVAÇÃO EMB001</t>
  </si>
  <si>
    <t xml:space="preserve">SACO À VÁCUO 1KG </t>
  </si>
  <si>
    <t>PA - 1KG</t>
  </si>
  <si>
    <t>ETIQUETA (unidades)</t>
  </si>
  <si>
    <t>sem faturamento em 2023</t>
  </si>
  <si>
    <t>DERIVAÇÃO EMB009</t>
  </si>
  <si>
    <t>CAIXA DE PAPELÃO 15KG - RESFRIADO</t>
  </si>
  <si>
    <t>PA - 15KG</t>
  </si>
  <si>
    <t>SACO QUALY NP 350 X 450 X 120P</t>
  </si>
  <si>
    <t>DERIVAÇÃO EMB011</t>
  </si>
  <si>
    <t xml:space="preserve">CAIXA DE PAPELÃO 30KG </t>
  </si>
  <si>
    <t>CONGELADOS PARA TERCEIROS</t>
  </si>
  <si>
    <t>01.0017</t>
  </si>
  <si>
    <t>FILE DE TILAPIA CONG. QUALYFISH 400G</t>
  </si>
  <si>
    <t>CAIXA DE PAPELÃO 10KG (QUALYFISH 400g)</t>
  </si>
  <si>
    <t>PEIXE VIVO (conf rendimento)</t>
  </si>
  <si>
    <t>Custo por Kg</t>
  </si>
  <si>
    <t>01.0018</t>
  </si>
  <si>
    <t>FILE DE TILAPIA CONG. QUALYFISH 800G</t>
  </si>
  <si>
    <t>CAIXA DE PAPELÃO 9,6KG (QUALYFISH 800g)</t>
  </si>
  <si>
    <t>01.0016</t>
  </si>
  <si>
    <t>FILE DE TILAPIA CONG. GOODFISH 500G</t>
  </si>
  <si>
    <t>CAIXA DE PAPELÃO 10KG (GOODFISH 500g)</t>
  </si>
  <si>
    <t>CONGELADOS FOODS</t>
  </si>
  <si>
    <t>CAIXA DE PAPELÃO 15KG - SEM PELE</t>
  </si>
  <si>
    <t>FILÉ SEM PELE CONGELADO</t>
  </si>
  <si>
    <t>CAIXA DE PAPELÃO 15KG - COM PELE</t>
  </si>
  <si>
    <t>OUTROS PRODUTOS FOODS</t>
  </si>
  <si>
    <t>01.0014</t>
  </si>
  <si>
    <t>ISCAS DE PEIXE CONGELADAS CX 15KG</t>
  </si>
  <si>
    <t>PELE - SACO 20KG</t>
  </si>
  <si>
    <t>KG - RESÍDUO</t>
  </si>
  <si>
    <t>VENTRECHA CONGELADA - SACO 20KG</t>
  </si>
  <si>
    <t>BARRIGUINHA CONGELADA - SACO 20KG</t>
  </si>
  <si>
    <t>ESTRUTURA CARCAÇA</t>
  </si>
  <si>
    <t>A GRANEL</t>
  </si>
  <si>
    <t>03.0005</t>
  </si>
  <si>
    <t>TILAPIA INTEIRA FRESCA</t>
  </si>
  <si>
    <t>PRODUTOS FFO</t>
  </si>
  <si>
    <t>04.0001</t>
  </si>
  <si>
    <t>FARINHA DE PEIXE</t>
  </si>
  <si>
    <t>OBS.: RENDIMENTO EM RELAÇÃO AO RESÍDUO E NÃO EM RELAÇÃO AO PEIXE</t>
  </si>
  <si>
    <t>FARINHA - SACO 25KG</t>
  </si>
  <si>
    <t>04.0002</t>
  </si>
  <si>
    <t>OLEO DE PEIXE</t>
  </si>
  <si>
    <t>ÓLEO - 1KG (A GRANEL)</t>
  </si>
  <si>
    <t xml:space="preserve">GELOX </t>
  </si>
  <si>
    <t>PI</t>
  </si>
  <si>
    <t>gramas</t>
  </si>
  <si>
    <t>Custo por Unid</t>
  </si>
  <si>
    <t>VENDAS</t>
  </si>
  <si>
    <t>TOTAL PESO BRUTO</t>
  </si>
  <si>
    <t>PAC001</t>
  </si>
  <si>
    <t>TILAPIA INTEIRA FRESCA - CAIXA PLASTICA 20KG</t>
  </si>
  <si>
    <t>PAC002</t>
  </si>
  <si>
    <t>TILAPIA INTEIRA EVISC. C/ ESCAMA FRESCA</t>
  </si>
  <si>
    <t>TILAPIA INTEIRA EVISC. S/ ESCAMA FRESCA</t>
  </si>
  <si>
    <t>TILAPIA INTEIRA EVISC. S/ ESCAMA FRESCA - A VACUO 1KG</t>
  </si>
  <si>
    <t>TILAPIA EVISCERADA RESFRIADA - PAPELAO 30KG</t>
  </si>
  <si>
    <t>TILAPIA EVISCERADA RESFRIADA</t>
  </si>
  <si>
    <t>TILAPIA EVISCERADA RESFRIADA C/ ESCAMA</t>
  </si>
  <si>
    <t>PAC003</t>
  </si>
  <si>
    <t>TILAPIA INTEIRA ESPALMADA CONGELADA</t>
  </si>
  <si>
    <t>TILAPIA INTEIRA EVISC. C/ ESCAMA CONG. - VACUO 1KG</t>
  </si>
  <si>
    <t>WHOLE BLACK TILAPIA 350/550 GRAMS - PAPELAO 30KG</t>
  </si>
  <si>
    <t>WHOLE BLACK TILAPIA 550/750 GRAMS - PAPELAO 30KG</t>
  </si>
  <si>
    <t>WHOLE BLACK TILAPIA 750/950 GRAMS - PAPELAO 30KG</t>
  </si>
  <si>
    <t>TILAPIA INTEIRA EVISC. S/ ESCAMA CONG. - PAPELAO 20KG</t>
  </si>
  <si>
    <t>PAC006</t>
  </si>
  <si>
    <t>CARCACA FRESCA - A GRANEL - GRANEL</t>
  </si>
  <si>
    <t>FILE DE TILAPIA CONG. 100G UP PRN</t>
  </si>
  <si>
    <t>FILE DE TILAPIA CONG. 70G UP PRN - PAPELAO 15KG</t>
  </si>
  <si>
    <t>FILE DE TILAPIA CONG. G 130/180G MRN</t>
  </si>
  <si>
    <t>FILE DE TILAPIA CONG. G 130/180G MRN - SACO 1KG - VACUO 1KG</t>
  </si>
  <si>
    <t>FILE DE TILAPIA CONG. GG 180G UP MRN</t>
  </si>
  <si>
    <t>FILE DE TILAPIA CONG. G 130/180G MRN - VACUO 5KG</t>
  </si>
  <si>
    <t>FILE DE TILAPIA CONG. 100G PRN - PAPELAO 15KG</t>
  </si>
  <si>
    <t>PAC007</t>
  </si>
  <si>
    <t>FILE DE TILAPIA RESFR. 100 UP MRN</t>
  </si>
  <si>
    <t>FILE DE TILAPIA RESFR. 100 UP PRN</t>
  </si>
  <si>
    <t>FILE DE TILAPIA RESFR. 100 UP PRN - A VACUO 1KG</t>
  </si>
  <si>
    <t>FILE DE TILAPIA RESFR. 100 UP PRN - CX 30KG</t>
  </si>
  <si>
    <t>FILE DE TILAPIA RESFR. 100 UP PRN M&amp;R - ISOPOR 5KG</t>
  </si>
  <si>
    <t>FILE DE TILAPIA RESFR. 70G UP MRN</t>
  </si>
  <si>
    <t>FILE DE TILAPIA RESFR. 70G UP PRN</t>
  </si>
  <si>
    <t>FILE DE TILAPIA RESFR. G 130/180G MRN</t>
  </si>
  <si>
    <t>FILE DE TILAPIA RESFR. G 130/180G MRN - A VACUO 1KG</t>
  </si>
  <si>
    <t>FILE DE TILAPIA RESFR. G 130/180G MRN M&amp;R - ISOPOR 5KG</t>
  </si>
  <si>
    <t>FILE DE TILAPIA RESFR. G 130/180G PRN</t>
  </si>
  <si>
    <t>FILE DE TILAPIA RESFR. GG  180G UP PRN</t>
  </si>
  <si>
    <t>FILE DE TILAPIA RESFR. GG 180G UP MRN</t>
  </si>
  <si>
    <t>FILE DE TILAPIA RESFR. GG 180G UP MRN M&amp;N - ISOPOR 5KG</t>
  </si>
  <si>
    <t>FILE DE TILAPIA RESFR. M  90/130G MRN</t>
  </si>
  <si>
    <t>FILE DE TILAPIA RESFR. M 90/130G - CX 30KG</t>
  </si>
  <si>
    <t>FILE DE TILAPIA S/ PELE RESFRIADO</t>
  </si>
  <si>
    <t>FILE DE TILAPIA RESFR. M 90/130G</t>
  </si>
  <si>
    <t>FILE DE TILAPIA RESFR. GG  180G UP PRN - A VACUO 1KG</t>
  </si>
  <si>
    <t>FILE DE TILAPIA RESFR. 100G UP PRN - A VACUO 1KG</t>
  </si>
  <si>
    <t>FRESH TILAPIA FILLETS 5/7 OZ</t>
  </si>
  <si>
    <t>FILE DE TILAPIA RESFR. G 180G UP MRN - A VACUO 1KG</t>
  </si>
  <si>
    <t>PAC008</t>
  </si>
  <si>
    <t>FILE DE TILAPIA C/PELE CONG. 100 UP PRN - PAPELAO 15KG</t>
  </si>
  <si>
    <t>PAC009</t>
  </si>
  <si>
    <t>FILE DE TILAPIA C/ PELE RESFR. 100 UP PRN - ISOPOR 5KG</t>
  </si>
  <si>
    <t>FILE DE TILAPIA C/PELE RESFR. G 130/180G</t>
  </si>
  <si>
    <t>FILE DE TILAPIA C/PELE RESFR. G 130/180G - A VACUO 1KG</t>
  </si>
  <si>
    <t>SUB001</t>
  </si>
  <si>
    <t>BARRIGUINHA CONGELADO</t>
  </si>
  <si>
    <t>CARCACA DE PEIXE</t>
  </si>
  <si>
    <t>PELE DE PEIXE</t>
  </si>
  <si>
    <t>TOTAL PESO BRUTO FATURADO</t>
  </si>
  <si>
    <t xml:space="preserve">CUSTO MÉDIO </t>
  </si>
  <si>
    <t>Absorção Custo de Filés Vendidos</t>
  </si>
  <si>
    <t>TOTAL 2024</t>
  </si>
  <si>
    <t>PAC006 - PAPELÃO</t>
  </si>
  <si>
    <t xml:space="preserve">FILE DE TILAPIA CONG. </t>
  </si>
  <si>
    <t>PAC007 - RESFR ISOPOR</t>
  </si>
  <si>
    <t xml:space="preserve">FILE DE TILAPIA RESFR. </t>
  </si>
  <si>
    <t>PAC008 - PAPELÃO</t>
  </si>
  <si>
    <t xml:space="preserve">FILE DE TILAPIA C/PELE CONG. </t>
  </si>
  <si>
    <t>PAC009 - À VACUO</t>
  </si>
  <si>
    <t xml:space="preserve">FILE DE TILAPIA C/ PELE RESFR. </t>
  </si>
  <si>
    <t>Absorção Custo de Sub Produtos Vendidos</t>
  </si>
  <si>
    <t>TILAPIA INTEIRA EVISC C/ OU S/ ESCAMA</t>
  </si>
  <si>
    <t>Absorção Custo de Produção Farinha e Óleo Vendidos</t>
  </si>
  <si>
    <t>PAC004</t>
  </si>
  <si>
    <t>PAC00x</t>
  </si>
  <si>
    <t>lote 1694</t>
  </si>
  <si>
    <t>lote 1695</t>
  </si>
  <si>
    <t>lote 1696</t>
  </si>
  <si>
    <t>lote 1697</t>
  </si>
  <si>
    <t>lote 1698</t>
  </si>
  <si>
    <t>lote 1699</t>
  </si>
  <si>
    <t>lote 1746</t>
  </si>
  <si>
    <t>lote 1875</t>
  </si>
  <si>
    <t>D-</t>
  </si>
  <si>
    <t>C-</t>
  </si>
  <si>
    <t>CUSTO CONTÁBIL</t>
  </si>
  <si>
    <t>CUSTO</t>
  </si>
  <si>
    <t>ESTOQUE</t>
  </si>
  <si>
    <t>(-) CUSTOS DIRETOS NA VENDA DE PEIXES VIVOS E PRODUTOS ACABADOS</t>
  </si>
  <si>
    <t xml:space="preserve"> - </t>
  </si>
  <si>
    <t>Custo Perda Inerente Produção Filés</t>
  </si>
  <si>
    <t>fat bruto</t>
  </si>
  <si>
    <t>CONTABIL</t>
  </si>
  <si>
    <t>D-1133102</t>
  </si>
  <si>
    <t>C-ESTOQUE</t>
  </si>
  <si>
    <t>EMBALAGENS</t>
  </si>
  <si>
    <t>FFO</t>
  </si>
  <si>
    <t>RESIDUOS</t>
  </si>
  <si>
    <t>DEMAIS INSUMOS</t>
  </si>
  <si>
    <t>INTERMEDIÁRIO</t>
  </si>
  <si>
    <t>EM ELABORAÇÃO</t>
  </si>
  <si>
    <t>EMB005</t>
  </si>
  <si>
    <t>RESFRIADO</t>
  </si>
  <si>
    <t>PELE SACO 12 KG</t>
  </si>
  <si>
    <t>kg</t>
  </si>
  <si>
    <t> </t>
  </si>
  <si>
    <t>0,17</t>
  </si>
  <si>
    <t>ETIQUETA</t>
  </si>
  <si>
    <t>FITA ADESIVA</t>
  </si>
  <si>
    <t>1,25</t>
  </si>
  <si>
    <t>VENTRECHA CONGELADA SACO 12 KG</t>
  </si>
  <si>
    <t>SACO GELOX</t>
  </si>
  <si>
    <t>PÓ GEL (GELOX)</t>
  </si>
  <si>
    <t>0,175</t>
  </si>
  <si>
    <t>EMB011</t>
  </si>
  <si>
    <t>BARRIGUINHA CONGELADA SACO 12 KG</t>
  </si>
  <si>
    <t>1,19</t>
  </si>
  <si>
    <t>2,68</t>
  </si>
  <si>
    <t>EMB001</t>
  </si>
  <si>
    <t>TILÁPIA INTEIRA NO GELO</t>
  </si>
  <si>
    <t>EMB009</t>
  </si>
  <si>
    <t>CONGELADO</t>
  </si>
  <si>
    <t>GELO</t>
  </si>
  <si>
    <t>0,68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</si>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</sst>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_-;_-@_-"/>
    <numFmt numFmtId="165" formatCode="_-&quot;R$&quot;\ * #,##0.0000_-;\-&quot;R$&quot;\ * #,##0.0000_-;_-&quot;R$&quot;\ * &quot;-&quot;??_-;_-@_-"/>
    <numFmt numFmtId="166" formatCode="_-* #,##0.000_-;\-* #,##0.000_-;_-* &quot;-&quot;???_-;_-@_-"/>
    <numFmt numFmtId="167" formatCode="0.000"/>
    <numFmt numFmtId="168" formatCode="_-* #,##0.00000_-;\-* #,##0.00000_-;_-* &quot;-&quot;??_-;_-@_-"/>
    <numFmt numFmtId="169" formatCode="_-&quot;R$&quot;\ * #,##0.000_-;\-&quot;R$&quot;\ * #,##0.000_-;_-&quot;R$&quot;\ * &quot;-&quot;??_-;_-@_-"/>
    <numFmt numFmtId="170" formatCode="_-&quot;R$&quot;\ * #,##0.000_-;\-&quot;R$&quot;\ * #,##0.000_-;_-&quot;R$&quot;\ * &quot;-&quot;???_-;_-@_-"/>
    <numFmt numFmtId="171" formatCode="_-* #,##0_-;\-* #,##0_-;_-* &quot;-&quot;??_-;_-@_-"/>
    <numFmt numFmtId="172" formatCode="&quot;R$&quot;\ 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8"/>
      <color rgb="FF000000"/>
      <name val="Segoe UI"/>
      <family val="1"/>
    </font>
    <font>
      <b/>
      <sz val="11"/>
      <color rgb="FF002060"/>
      <name val="Aptos Narrow"/>
      <family val="2"/>
      <scheme val="minor"/>
    </font>
    <font>
      <sz val="11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3" tint="0.8999908444471571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/>
    <xf numFmtId="0" fontId="14" fillId="0" borderId="0" applyNumberFormat="0"/>
    <xf numFmtId="43" fontId="14" fillId="0" borderId="0" applyFont="0" applyFill="0" applyBorder="0" applyAlignment="0" applyProtection="0"/>
    <xf numFmtId="0" fontId="1" fillId="0" borderId="0"/>
    <xf numFmtId="0" fontId="1" fillId="15" borderId="23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8">
    <xf numFmtId="0" fontId="0" fillId="0" borderId="0" xfId="0"/>
    <xf numFmtId="49" fontId="4" fillId="2" borderId="0" xfId="0" applyNumberFormat="1" applyFont="1" applyFill="1"/>
    <xf numFmtId="0" fontId="6" fillId="2" borderId="0" xfId="0" applyFont="1" applyFill="1" applyAlignment="1">
      <alignment horizontal="center"/>
    </xf>
    <xf numFmtId="14" fontId="6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49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7" fillId="2" borderId="4" xfId="0" applyFont="1" applyFill="1" applyBorder="1"/>
    <xf numFmtId="9" fontId="4" fillId="2" borderId="0" xfId="0" applyNumberFormat="1" applyFont="1" applyFill="1" applyAlignment="1">
      <alignment horizontal="center"/>
    </xf>
    <xf numFmtId="49" fontId="4" fillId="2" borderId="5" xfId="0" applyNumberFormat="1" applyFont="1" applyFill="1" applyBorder="1"/>
    <xf numFmtId="0" fontId="4" fillId="4" borderId="4" xfId="0" applyFont="1" applyFill="1" applyBorder="1"/>
    <xf numFmtId="0" fontId="4" fillId="2" borderId="4" xfId="0" applyFont="1" applyFill="1" applyBorder="1" applyAlignment="1">
      <alignment horizontal="center"/>
    </xf>
    <xf numFmtId="164" fontId="5" fillId="5" borderId="6" xfId="1" applyNumberFormat="1" applyFont="1" applyFill="1" applyBorder="1" applyAlignment="1">
      <alignment horizontal="center"/>
    </xf>
    <xf numFmtId="49" fontId="2" fillId="5" borderId="7" xfId="0" applyNumberFormat="1" applyFont="1" applyFill="1" applyBorder="1"/>
    <xf numFmtId="0" fontId="2" fillId="5" borderId="8" xfId="0" applyFont="1" applyFill="1" applyBorder="1"/>
    <xf numFmtId="9" fontId="5" fillId="5" borderId="8" xfId="0" applyNumberFormat="1" applyFont="1" applyFill="1" applyBorder="1" applyAlignment="1">
      <alignment horizontal="left"/>
    </xf>
    <xf numFmtId="164" fontId="8" fillId="2" borderId="0" xfId="1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10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49" fontId="0" fillId="6" borderId="8" xfId="0" applyNumberFormat="1" applyFill="1" applyBorder="1"/>
    <xf numFmtId="0" fontId="0" fillId="7" borderId="8" xfId="0" applyFill="1" applyBorder="1"/>
    <xf numFmtId="0" fontId="0" fillId="2" borderId="8" xfId="0" applyFill="1" applyBorder="1"/>
    <xf numFmtId="49" fontId="0" fillId="2" borderId="13" xfId="0" applyNumberFormat="1" applyFill="1" applyBorder="1"/>
    <xf numFmtId="0" fontId="0" fillId="2" borderId="14" xfId="0" applyFill="1" applyBorder="1"/>
    <xf numFmtId="49" fontId="0" fillId="6" borderId="16" xfId="0" applyNumberFormat="1" applyFill="1" applyBorder="1"/>
    <xf numFmtId="0" fontId="0" fillId="2" borderId="9" xfId="0" applyFill="1" applyBorder="1" applyAlignment="1">
      <alignment horizontal="center"/>
    </xf>
    <xf numFmtId="49" fontId="0" fillId="8" borderId="10" xfId="0" applyNumberFormat="1" applyFill="1" applyBorder="1"/>
    <xf numFmtId="49" fontId="0" fillId="9" borderId="16" xfId="0" applyNumberFormat="1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0" xfId="0" applyFill="1"/>
    <xf numFmtId="0" fontId="4" fillId="2" borderId="19" xfId="0" applyFont="1" applyFill="1" applyBorder="1" applyAlignment="1">
      <alignment horizontal="center"/>
    </xf>
    <xf numFmtId="49" fontId="0" fillId="2" borderId="0" xfId="0" applyNumberFormat="1" applyFill="1"/>
    <xf numFmtId="9" fontId="0" fillId="2" borderId="0" xfId="0" applyNumberFormat="1" applyFill="1" applyAlignment="1">
      <alignment horizontal="center"/>
    </xf>
    <xf numFmtId="164" fontId="5" fillId="5" borderId="9" xfId="1" applyNumberFormat="1" applyFont="1" applyFill="1" applyBorder="1" applyAlignment="1">
      <alignment horizontal="center"/>
    </xf>
    <xf numFmtId="0" fontId="0" fillId="4" borderId="8" xfId="0" applyFill="1" applyBorder="1"/>
    <xf numFmtId="49" fontId="0" fillId="2" borderId="20" xfId="0" applyNumberFormat="1" applyFill="1" applyBorder="1"/>
    <xf numFmtId="49" fontId="3" fillId="2" borderId="0" xfId="0" applyNumberFormat="1" applyFont="1" applyFill="1"/>
    <xf numFmtId="0" fontId="0" fillId="4" borderId="17" xfId="0" applyFill="1" applyBorder="1"/>
    <xf numFmtId="0" fontId="4" fillId="2" borderId="4" xfId="0" applyFont="1" applyFill="1" applyBorder="1"/>
    <xf numFmtId="0" fontId="2" fillId="3" borderId="0" xfId="0" applyFont="1" applyFill="1"/>
    <xf numFmtId="49" fontId="0" fillId="0" borderId="16" xfId="0" applyNumberFormat="1" applyBorder="1"/>
    <xf numFmtId="49" fontId="9" fillId="2" borderId="7" xfId="0" applyNumberFormat="1" applyFont="1" applyFill="1" applyBorder="1"/>
    <xf numFmtId="0" fontId="9" fillId="2" borderId="8" xfId="0" applyFont="1" applyFill="1" applyBorder="1"/>
    <xf numFmtId="0" fontId="9" fillId="2" borderId="9" xfId="0" applyFont="1" applyFill="1" applyBorder="1" applyAlignment="1">
      <alignment horizontal="center"/>
    </xf>
    <xf numFmtId="49" fontId="0" fillId="2" borderId="16" xfId="0" applyNumberFormat="1" applyFill="1" applyBorder="1"/>
    <xf numFmtId="166" fontId="0" fillId="2" borderId="0" xfId="0" applyNumberFormat="1" applyFill="1"/>
    <xf numFmtId="0" fontId="5" fillId="3" borderId="0" xfId="0" applyFont="1" applyFill="1"/>
    <xf numFmtId="49" fontId="4" fillId="6" borderId="5" xfId="0" applyNumberFormat="1" applyFont="1" applyFill="1" applyBorder="1"/>
    <xf numFmtId="0" fontId="11" fillId="2" borderId="4" xfId="0" applyFont="1" applyFill="1" applyBorder="1"/>
    <xf numFmtId="49" fontId="0" fillId="0" borderId="8" xfId="0" applyNumberFormat="1" applyBorder="1"/>
    <xf numFmtId="0" fontId="0" fillId="0" borderId="8" xfId="0" applyBorder="1"/>
    <xf numFmtId="9" fontId="5" fillId="10" borderId="8" xfId="0" applyNumberFormat="1" applyFont="1" applyFill="1" applyBorder="1" applyAlignment="1">
      <alignment horizontal="left"/>
    </xf>
    <xf numFmtId="49" fontId="12" fillId="11" borderId="0" xfId="0" applyNumberFormat="1" applyFont="1" applyFill="1"/>
    <xf numFmtId="0" fontId="8" fillId="11" borderId="0" xfId="0" applyFont="1" applyFill="1"/>
    <xf numFmtId="0" fontId="0" fillId="2" borderId="0" xfId="0" applyFill="1" applyAlignment="1">
      <alignment horizontal="left"/>
    </xf>
    <xf numFmtId="164" fontId="5" fillId="10" borderId="9" xfId="1" applyNumberFormat="1" applyFont="1" applyFill="1" applyBorder="1" applyAlignment="1">
      <alignment horizontal="center"/>
    </xf>
    <xf numFmtId="49" fontId="0" fillId="0" borderId="20" xfId="0" applyNumberFormat="1" applyBorder="1"/>
    <xf numFmtId="0" fontId="4" fillId="2" borderId="21" xfId="0" applyFont="1" applyFill="1" applyBorder="1" applyAlignment="1">
      <alignment horizontal="center"/>
    </xf>
    <xf numFmtId="49" fontId="10" fillId="13" borderId="16" xfId="0" applyNumberFormat="1" applyFont="1" applyFill="1" applyBorder="1"/>
    <xf numFmtId="0" fontId="10" fillId="13" borderId="8" xfId="0" applyFont="1" applyFill="1" applyBorder="1"/>
    <xf numFmtId="0" fontId="0" fillId="13" borderId="8" xfId="0" applyFill="1" applyBorder="1"/>
    <xf numFmtId="49" fontId="10" fillId="13" borderId="20" xfId="0" applyNumberFormat="1" applyFont="1" applyFill="1" applyBorder="1"/>
    <xf numFmtId="0" fontId="10" fillId="13" borderId="17" xfId="0" applyFont="1" applyFill="1" applyBorder="1"/>
    <xf numFmtId="0" fontId="0" fillId="13" borderId="17" xfId="0" applyFill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9" fontId="0" fillId="0" borderId="0" xfId="2" applyNumberFormat="1" applyFont="1"/>
    <xf numFmtId="14" fontId="0" fillId="0" borderId="0" xfId="0" applyNumberFormat="1"/>
    <xf numFmtId="0" fontId="0" fillId="0" borderId="0" xfId="0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  <xf numFmtId="170" fontId="0" fillId="0" borderId="0" xfId="0" applyNumberFormat="1"/>
    <xf numFmtId="169" fontId="8" fillId="0" borderId="0" xfId="2" applyNumberFormat="1" applyFont="1"/>
    <xf numFmtId="169" fontId="0" fillId="0" borderId="0" xfId="2" applyNumberFormat="1" applyFont="1" applyFill="1" applyAlignment="1">
      <alignment horizontal="center" vertical="center"/>
    </xf>
    <xf numFmtId="44" fontId="0" fillId="0" borderId="0" xfId="2" applyFont="1"/>
    <xf numFmtId="0" fontId="12" fillId="2" borderId="0" xfId="0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0" fontId="12" fillId="2" borderId="0" xfId="0" applyFont="1" applyFill="1"/>
    <xf numFmtId="0" fontId="8" fillId="2" borderId="0" xfId="0" applyFont="1" applyFill="1"/>
    <xf numFmtId="0" fontId="13" fillId="2" borderId="0" xfId="0" applyFont="1" applyFill="1" applyAlignment="1">
      <alignment horizontal="center"/>
    </xf>
    <xf numFmtId="166" fontId="8" fillId="2" borderId="0" xfId="0" applyNumberFormat="1" applyFont="1" applyFill="1"/>
    <xf numFmtId="167" fontId="8" fillId="2" borderId="0" xfId="1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168" fontId="8" fillId="2" borderId="0" xfId="0" applyNumberFormat="1" applyFont="1" applyFill="1" applyAlignment="1">
      <alignment horizontal="center"/>
    </xf>
    <xf numFmtId="169" fontId="4" fillId="2" borderId="0" xfId="2" applyNumberFormat="1" applyFont="1" applyFill="1" applyAlignment="1">
      <alignment horizontal="center"/>
    </xf>
    <xf numFmtId="169" fontId="5" fillId="2" borderId="0" xfId="2" applyNumberFormat="1" applyFont="1" applyFill="1" applyBorder="1" applyAlignment="1">
      <alignment horizontal="center"/>
    </xf>
    <xf numFmtId="169" fontId="5" fillId="5" borderId="0" xfId="2" applyNumberFormat="1" applyFont="1" applyFill="1" applyBorder="1" applyAlignment="1">
      <alignment horizontal="center"/>
    </xf>
    <xf numFmtId="169" fontId="0" fillId="2" borderId="0" xfId="2" applyNumberFormat="1" applyFont="1" applyFill="1" applyBorder="1" applyAlignment="1">
      <alignment horizontal="center"/>
    </xf>
    <xf numFmtId="169" fontId="0" fillId="2" borderId="0" xfId="2" applyNumberFormat="1" applyFont="1" applyFill="1" applyAlignment="1">
      <alignment horizontal="center"/>
    </xf>
    <xf numFmtId="169" fontId="4" fillId="2" borderId="0" xfId="2" applyNumberFormat="1" applyFont="1" applyFill="1"/>
    <xf numFmtId="169" fontId="0" fillId="2" borderId="0" xfId="2" applyNumberFormat="1" applyFont="1" applyFill="1"/>
    <xf numFmtId="169" fontId="9" fillId="2" borderId="0" xfId="2" applyNumberFormat="1" applyFont="1" applyFill="1" applyAlignment="1">
      <alignment horizontal="center"/>
    </xf>
    <xf numFmtId="169" fontId="0" fillId="2" borderId="0" xfId="2" applyNumberFormat="1" applyFont="1" applyFill="1" applyAlignment="1">
      <alignment horizontal="left"/>
    </xf>
    <xf numFmtId="169" fontId="5" fillId="10" borderId="0" xfId="2" applyNumberFormat="1" applyFont="1" applyFill="1" applyAlignment="1">
      <alignment horizontal="left"/>
    </xf>
    <xf numFmtId="170" fontId="0" fillId="2" borderId="0" xfId="0" applyNumberFormat="1" applyFill="1"/>
    <xf numFmtId="49" fontId="2" fillId="14" borderId="7" xfId="0" applyNumberFormat="1" applyFont="1" applyFill="1" applyBorder="1"/>
    <xf numFmtId="0" fontId="2" fillId="14" borderId="8" xfId="0" applyFont="1" applyFill="1" applyBorder="1"/>
    <xf numFmtId="9" fontId="5" fillId="14" borderId="8" xfId="0" applyNumberFormat="1" applyFont="1" applyFill="1" applyBorder="1" applyAlignment="1">
      <alignment horizontal="left"/>
    </xf>
    <xf numFmtId="164" fontId="5" fillId="14" borderId="9" xfId="1" applyNumberFormat="1" applyFont="1" applyFill="1" applyBorder="1" applyAlignment="1">
      <alignment horizontal="center"/>
    </xf>
    <xf numFmtId="49" fontId="5" fillId="8" borderId="10" xfId="0" applyNumberFormat="1" applyFont="1" applyFill="1" applyBorder="1"/>
    <xf numFmtId="169" fontId="4" fillId="2" borderId="8" xfId="2" applyNumberFormat="1" applyFont="1" applyFill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4" fontId="0" fillId="0" borderId="0" xfId="2" applyFont="1" applyFill="1"/>
    <xf numFmtId="43" fontId="0" fillId="0" borderId="0" xfId="1" applyFont="1"/>
    <xf numFmtId="43" fontId="0" fillId="0" borderId="0" xfId="1" applyFont="1" applyAlignment="1">
      <alignment horizontal="center"/>
    </xf>
    <xf numFmtId="169" fontId="4" fillId="4" borderId="0" xfId="2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3" fontId="0" fillId="2" borderId="0" xfId="1" applyFont="1" applyFill="1"/>
    <xf numFmtId="164" fontId="5" fillId="5" borderId="24" xfId="1" applyNumberFormat="1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9" fontId="5" fillId="5" borderId="8" xfId="2" applyNumberFormat="1" applyFont="1" applyFill="1" applyBorder="1" applyAlignment="1">
      <alignment horizontal="center"/>
    </xf>
    <xf numFmtId="169" fontId="0" fillId="2" borderId="8" xfId="2" applyNumberFormat="1" applyFont="1" applyFill="1" applyBorder="1" applyAlignment="1">
      <alignment horizontal="center"/>
    </xf>
    <xf numFmtId="0" fontId="0" fillId="2" borderId="28" xfId="0" applyFill="1" applyBorder="1"/>
    <xf numFmtId="169" fontId="4" fillId="2" borderId="11" xfId="2" applyNumberFormat="1" applyFont="1" applyFill="1" applyBorder="1" applyAlignment="1">
      <alignment horizontal="center"/>
    </xf>
    <xf numFmtId="169" fontId="4" fillId="2" borderId="19" xfId="2" applyNumberFormat="1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169" fontId="4" fillId="2" borderId="28" xfId="2" applyNumberFormat="1" applyFont="1" applyFill="1" applyBorder="1" applyAlignment="1">
      <alignment horizontal="center"/>
    </xf>
    <xf numFmtId="169" fontId="4" fillId="2" borderId="30" xfId="2" applyNumberFormat="1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7" fontId="2" fillId="10" borderId="9" xfId="1" applyNumberFormat="1" applyFont="1" applyFill="1" applyBorder="1" applyAlignment="1">
      <alignment horizontal="center"/>
    </xf>
    <xf numFmtId="167" fontId="0" fillId="2" borderId="0" xfId="0" applyNumberFormat="1" applyFill="1"/>
    <xf numFmtId="164" fontId="0" fillId="2" borderId="0" xfId="1" applyNumberFormat="1" applyFont="1" applyFill="1"/>
    <xf numFmtId="0" fontId="10" fillId="2" borderId="24" xfId="0" applyFont="1" applyFill="1" applyBorder="1" applyAlignment="1">
      <alignment horizontal="center"/>
    </xf>
    <xf numFmtId="164" fontId="5" fillId="10" borderId="24" xfId="1" applyNumberFormat="1" applyFont="1" applyFill="1" applyBorder="1" applyAlignment="1">
      <alignment horizontal="center"/>
    </xf>
    <xf numFmtId="169" fontId="5" fillId="10" borderId="8" xfId="2" applyNumberFormat="1" applyFont="1" applyFill="1" applyBorder="1" applyAlignment="1">
      <alignment horizontal="center"/>
    </xf>
    <xf numFmtId="2" fontId="2" fillId="14" borderId="0" xfId="1" applyNumberFormat="1" applyFont="1" applyFill="1" applyBorder="1" applyAlignment="1">
      <alignment horizontal="center"/>
    </xf>
    <xf numFmtId="169" fontId="4" fillId="2" borderId="0" xfId="2" applyNumberFormat="1" applyFont="1" applyFill="1" applyBorder="1" applyAlignment="1">
      <alignment horizontal="center"/>
    </xf>
    <xf numFmtId="168" fontId="0" fillId="13" borderId="24" xfId="0" applyNumberFormat="1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169" fontId="4" fillId="2" borderId="22" xfId="2" applyNumberFormat="1" applyFont="1" applyFill="1" applyBorder="1" applyAlignment="1">
      <alignment horizontal="center"/>
    </xf>
    <xf numFmtId="44" fontId="4" fillId="2" borderId="9" xfId="9" applyFont="1" applyFill="1" applyBorder="1"/>
    <xf numFmtId="0" fontId="19" fillId="2" borderId="5" xfId="3" applyFont="1" applyFill="1" applyBorder="1" applyAlignment="1" applyProtection="1">
      <alignment horizontal="center"/>
      <protection locked="0"/>
    </xf>
    <xf numFmtId="44" fontId="19" fillId="2" borderId="14" xfId="9" applyFont="1" applyFill="1" applyBorder="1"/>
    <xf numFmtId="44" fontId="19" fillId="2" borderId="15" xfId="9" applyFont="1" applyFill="1" applyBorder="1"/>
    <xf numFmtId="0" fontId="21" fillId="2" borderId="16" xfId="3" applyFont="1" applyFill="1" applyBorder="1" applyAlignment="1" applyProtection="1">
      <alignment horizontal="center"/>
      <protection locked="0"/>
    </xf>
    <xf numFmtId="44" fontId="0" fillId="2" borderId="8" xfId="9" applyFont="1" applyFill="1" applyBorder="1"/>
    <xf numFmtId="44" fontId="0" fillId="2" borderId="11" xfId="9" applyFont="1" applyFill="1" applyBorder="1"/>
    <xf numFmtId="44" fontId="4" fillId="2" borderId="12" xfId="9" applyFont="1" applyFill="1" applyBorder="1"/>
    <xf numFmtId="0" fontId="21" fillId="2" borderId="20" xfId="3" applyFont="1" applyFill="1" applyBorder="1" applyAlignment="1" applyProtection="1">
      <alignment horizontal="center"/>
      <protection locked="0"/>
    </xf>
    <xf numFmtId="44" fontId="4" fillId="2" borderId="18" xfId="9" applyFont="1" applyFill="1" applyBorder="1"/>
    <xf numFmtId="0" fontId="0" fillId="0" borderId="28" xfId="0" applyBorder="1"/>
    <xf numFmtId="49" fontId="10" fillId="13" borderId="13" xfId="0" applyNumberFormat="1" applyFont="1" applyFill="1" applyBorder="1"/>
    <xf numFmtId="0" fontId="10" fillId="13" borderId="14" xfId="0" applyFont="1" applyFill="1" applyBorder="1"/>
    <xf numFmtId="49" fontId="0" fillId="2" borderId="21" xfId="0" applyNumberFormat="1" applyFill="1" applyBorder="1"/>
    <xf numFmtId="0" fontId="2" fillId="12" borderId="29" xfId="0" applyFont="1" applyFill="1" applyBorder="1"/>
    <xf numFmtId="164" fontId="5" fillId="14" borderId="24" xfId="1" applyNumberFormat="1" applyFont="1" applyFill="1" applyBorder="1" applyAlignment="1">
      <alignment horizontal="center"/>
    </xf>
    <xf numFmtId="169" fontId="5" fillId="14" borderId="8" xfId="2" applyNumberFormat="1" applyFont="1" applyFill="1" applyBorder="1" applyAlignment="1">
      <alignment horizontal="center"/>
    </xf>
    <xf numFmtId="167" fontId="5" fillId="10" borderId="24" xfId="1" applyNumberFormat="1" applyFont="1" applyFill="1" applyBorder="1" applyAlignment="1">
      <alignment horizontal="center"/>
    </xf>
    <xf numFmtId="49" fontId="4" fillId="2" borderId="16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left" indent="1"/>
    </xf>
    <xf numFmtId="0" fontId="4" fillId="16" borderId="0" xfId="0" applyFont="1" applyFill="1" applyAlignment="1">
      <alignment horizontal="left"/>
    </xf>
    <xf numFmtId="0" fontId="4" fillId="0" borderId="0" xfId="0" pivotButton="1" applyFont="1" applyAlignment="1">
      <alignment horizontal="center"/>
    </xf>
    <xf numFmtId="0" fontId="4" fillId="0" borderId="0" xfId="0" applyFont="1" applyAlignment="1">
      <alignment horizontal="center"/>
    </xf>
    <xf numFmtId="43" fontId="4" fillId="16" borderId="0" xfId="1" applyFont="1" applyFill="1"/>
    <xf numFmtId="0" fontId="15" fillId="2" borderId="0" xfId="4" applyFont="1" applyFill="1" applyAlignment="1">
      <alignment horizontal="center"/>
    </xf>
    <xf numFmtId="0" fontId="14" fillId="2" borderId="0" xfId="4" applyFill="1"/>
    <xf numFmtId="0" fontId="1" fillId="2" borderId="0" xfId="6" applyFill="1"/>
    <xf numFmtId="43" fontId="0" fillId="2" borderId="0" xfId="5" applyFont="1" applyFill="1"/>
    <xf numFmtId="17" fontId="15" fillId="2" borderId="8" xfId="4" applyNumberFormat="1" applyFont="1" applyFill="1" applyBorder="1" applyAlignment="1">
      <alignment horizontal="center"/>
    </xf>
    <xf numFmtId="43" fontId="16" fillId="2" borderId="8" xfId="4" applyNumberFormat="1" applyFont="1" applyFill="1" applyBorder="1" applyAlignment="1">
      <alignment horizontal="center"/>
    </xf>
    <xf numFmtId="43" fontId="4" fillId="2" borderId="0" xfId="5" applyFont="1" applyFill="1" applyAlignment="1">
      <alignment horizontal="center"/>
    </xf>
    <xf numFmtId="0" fontId="16" fillId="2" borderId="0" xfId="4" applyFont="1" applyFill="1"/>
    <xf numFmtId="43" fontId="19" fillId="2" borderId="0" xfId="5" applyFont="1" applyFill="1"/>
    <xf numFmtId="0" fontId="20" fillId="2" borderId="0" xfId="7" applyFont="1" applyFill="1" applyBorder="1" applyAlignment="1">
      <alignment horizontal="left"/>
    </xf>
    <xf numFmtId="171" fontId="17" fillId="2" borderId="0" xfId="4" applyNumberFormat="1" applyFont="1" applyFill="1"/>
    <xf numFmtId="171" fontId="18" fillId="2" borderId="0" xfId="4" applyNumberFormat="1" applyFont="1" applyFill="1"/>
    <xf numFmtId="43" fontId="0" fillId="2" borderId="0" xfId="5" applyFont="1" applyFill="1" applyBorder="1"/>
    <xf numFmtId="44" fontId="14" fillId="2" borderId="8" xfId="2" applyFont="1" applyFill="1" applyBorder="1"/>
    <xf numFmtId="44" fontId="18" fillId="2" borderId="8" xfId="2" applyFont="1" applyFill="1" applyBorder="1"/>
    <xf numFmtId="44" fontId="14" fillId="2" borderId="0" xfId="2" applyFont="1" applyFill="1"/>
    <xf numFmtId="43" fontId="14" fillId="2" borderId="0" xfId="1" applyFont="1" applyFill="1"/>
    <xf numFmtId="0" fontId="14" fillId="2" borderId="0" xfId="3" applyFill="1"/>
    <xf numFmtId="0" fontId="15" fillId="2" borderId="8" xfId="3" applyFont="1" applyFill="1" applyBorder="1" applyAlignment="1">
      <alignment horizontal="center"/>
    </xf>
    <xf numFmtId="0" fontId="21" fillId="2" borderId="8" xfId="3" applyFont="1" applyFill="1" applyBorder="1" applyProtection="1">
      <protection locked="0"/>
    </xf>
    <xf numFmtId="0" fontId="21" fillId="2" borderId="11" xfId="3" applyFont="1" applyFill="1" applyBorder="1" applyProtection="1">
      <protection locked="0"/>
    </xf>
    <xf numFmtId="0" fontId="22" fillId="2" borderId="0" xfId="3" applyFont="1" applyFill="1"/>
    <xf numFmtId="43" fontId="14" fillId="2" borderId="0" xfId="3" applyNumberFormat="1" applyFill="1"/>
    <xf numFmtId="0" fontId="4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3" fillId="2" borderId="8" xfId="6" applyFont="1" applyFill="1" applyBorder="1"/>
    <xf numFmtId="0" fontId="12" fillId="2" borderId="8" xfId="0" applyFont="1" applyFill="1" applyBorder="1" applyAlignment="1">
      <alignment horizontal="center"/>
    </xf>
    <xf numFmtId="43" fontId="8" fillId="2" borderId="0" xfId="5" applyFont="1" applyFill="1"/>
    <xf numFmtId="0" fontId="17" fillId="2" borderId="0" xfId="4" applyFont="1" applyFill="1"/>
    <xf numFmtId="0" fontId="18" fillId="2" borderId="0" xfId="4" applyFont="1" applyFill="1"/>
    <xf numFmtId="43" fontId="12" fillId="2" borderId="0" xfId="5" applyFont="1" applyFill="1"/>
    <xf numFmtId="171" fontId="17" fillId="2" borderId="0" xfId="8" applyNumberFormat="1" applyFont="1" applyFill="1"/>
    <xf numFmtId="43" fontId="17" fillId="2" borderId="0" xfId="4" applyNumberFormat="1" applyFont="1" applyFill="1"/>
    <xf numFmtId="43" fontId="18" fillId="2" borderId="0" xfId="4" applyNumberFormat="1" applyFont="1" applyFill="1"/>
    <xf numFmtId="2" fontId="4" fillId="2" borderId="8" xfId="1" applyNumberFormat="1" applyFont="1" applyFill="1" applyBorder="1" applyAlignment="1">
      <alignment horizontal="center"/>
    </xf>
    <xf numFmtId="2" fontId="16" fillId="2" borderId="0" xfId="1" applyNumberFormat="1" applyFont="1" applyFill="1"/>
    <xf numFmtId="2" fontId="20" fillId="2" borderId="0" xfId="1" applyNumberFormat="1" applyFont="1" applyFill="1" applyBorder="1" applyAlignment="1">
      <alignment horizontal="left"/>
    </xf>
    <xf numFmtId="2" fontId="12" fillId="2" borderId="8" xfId="1" applyNumberFormat="1" applyFont="1" applyFill="1" applyBorder="1" applyAlignment="1">
      <alignment horizontal="center"/>
    </xf>
    <xf numFmtId="2" fontId="13" fillId="2" borderId="14" xfId="1" applyNumberFormat="1" applyFont="1" applyFill="1" applyBorder="1"/>
    <xf numFmtId="2" fontId="18" fillId="2" borderId="0" xfId="1" applyNumberFormat="1" applyFont="1" applyFill="1"/>
    <xf numFmtId="2" fontId="17" fillId="2" borderId="0" xfId="1" applyNumberFormat="1" applyFont="1" applyFill="1"/>
    <xf numFmtId="2" fontId="4" fillId="2" borderId="0" xfId="1" applyNumberFormat="1" applyFont="1" applyFill="1" applyBorder="1" applyAlignment="1">
      <alignment horizontal="center"/>
    </xf>
    <xf numFmtId="171" fontId="14" fillId="2" borderId="0" xfId="4" applyNumberFormat="1" applyFill="1"/>
    <xf numFmtId="171" fontId="15" fillId="2" borderId="0" xfId="4" applyNumberFormat="1" applyFont="1" applyFill="1"/>
    <xf numFmtId="43" fontId="1" fillId="2" borderId="0" xfId="6" applyNumberFormat="1" applyFill="1"/>
    <xf numFmtId="17" fontId="4" fillId="0" borderId="0" xfId="0" applyNumberFormat="1" applyFont="1" applyAlignment="1">
      <alignment horizontal="center"/>
    </xf>
    <xf numFmtId="44" fontId="15" fillId="2" borderId="8" xfId="2" applyFont="1" applyFill="1" applyBorder="1"/>
    <xf numFmtId="44" fontId="18" fillId="2" borderId="14" xfId="2" applyFont="1" applyFill="1" applyBorder="1"/>
    <xf numFmtId="43" fontId="14" fillId="6" borderId="0" xfId="3" applyNumberFormat="1" applyFill="1"/>
    <xf numFmtId="0" fontId="15" fillId="2" borderId="0" xfId="4" applyFont="1" applyFill="1"/>
    <xf numFmtId="43" fontId="14" fillId="2" borderId="0" xfId="4" applyNumberFormat="1" applyFill="1"/>
    <xf numFmtId="43" fontId="15" fillId="2" borderId="0" xfId="4" applyNumberFormat="1" applyFont="1" applyFill="1"/>
    <xf numFmtId="44" fontId="14" fillId="2" borderId="0" xfId="4" applyNumberFormat="1" applyFill="1"/>
    <xf numFmtId="0" fontId="14" fillId="2" borderId="0" xfId="4" applyFill="1" applyAlignment="1">
      <alignment horizontal="right"/>
    </xf>
    <xf numFmtId="0" fontId="19" fillId="2" borderId="6" xfId="3" applyFont="1" applyFill="1" applyBorder="1" applyAlignment="1" applyProtection="1">
      <alignment horizontal="center"/>
      <protection locked="0"/>
    </xf>
    <xf numFmtId="0" fontId="21" fillId="2" borderId="9" xfId="3" applyFont="1" applyFill="1" applyBorder="1" applyAlignment="1" applyProtection="1">
      <alignment horizontal="center"/>
      <protection locked="0"/>
    </xf>
    <xf numFmtId="0" fontId="21" fillId="2" borderId="18" xfId="3" applyFont="1" applyFill="1" applyBorder="1" applyAlignment="1" applyProtection="1">
      <alignment horizontal="center"/>
      <protection locked="0"/>
    </xf>
    <xf numFmtId="44" fontId="19" fillId="2" borderId="34" xfId="9" applyFont="1" applyFill="1" applyBorder="1"/>
    <xf numFmtId="44" fontId="0" fillId="2" borderId="28" xfId="9" applyFont="1" applyFill="1" applyBorder="1"/>
    <xf numFmtId="44" fontId="0" fillId="2" borderId="30" xfId="9" applyFont="1" applyFill="1" applyBorder="1"/>
    <xf numFmtId="44" fontId="0" fillId="2" borderId="33" xfId="9" applyFont="1" applyFill="1" applyBorder="1"/>
    <xf numFmtId="0" fontId="19" fillId="2" borderId="31" xfId="3" applyFont="1" applyFill="1" applyBorder="1" applyProtection="1">
      <protection locked="0"/>
    </xf>
    <xf numFmtId="0" fontId="21" fillId="2" borderId="35" xfId="3" applyFont="1" applyFill="1" applyBorder="1" applyProtection="1">
      <protection locked="0"/>
    </xf>
    <xf numFmtId="0" fontId="21" fillId="2" borderId="36" xfId="3" applyFont="1" applyFill="1" applyBorder="1" applyProtection="1">
      <protection locked="0"/>
    </xf>
    <xf numFmtId="0" fontId="21" fillId="2" borderId="32" xfId="3" applyFont="1" applyFill="1" applyBorder="1" applyProtection="1">
      <protection locked="0"/>
    </xf>
    <xf numFmtId="17" fontId="15" fillId="0" borderId="19" xfId="3" applyNumberFormat="1" applyFont="1" applyBorder="1" applyAlignment="1">
      <alignment horizontal="center"/>
    </xf>
    <xf numFmtId="17" fontId="15" fillId="0" borderId="37" xfId="3" applyNumberFormat="1" applyFont="1" applyBorder="1" applyAlignment="1">
      <alignment horizontal="center"/>
    </xf>
    <xf numFmtId="17" fontId="15" fillId="2" borderId="37" xfId="3" applyNumberFormat="1" applyFont="1" applyFill="1" applyBorder="1" applyAlignment="1">
      <alignment horizontal="center"/>
    </xf>
    <xf numFmtId="0" fontId="15" fillId="2" borderId="29" xfId="3" applyFont="1" applyFill="1" applyBorder="1" applyAlignment="1">
      <alignment horizontal="center"/>
    </xf>
    <xf numFmtId="0" fontId="14" fillId="2" borderId="0" xfId="3" applyFill="1" applyAlignment="1">
      <alignment horizontal="center"/>
    </xf>
    <xf numFmtId="0" fontId="14" fillId="0" borderId="0" xfId="3" applyAlignment="1">
      <alignment horizontal="center"/>
    </xf>
    <xf numFmtId="0" fontId="15" fillId="2" borderId="0" xfId="3" applyFont="1" applyFill="1" applyAlignment="1">
      <alignment horizontal="center"/>
    </xf>
    <xf numFmtId="0" fontId="15" fillId="2" borderId="0" xfId="4" applyFont="1" applyFill="1" applyAlignment="1">
      <alignment horizontal="right"/>
    </xf>
    <xf numFmtId="0" fontId="14" fillId="0" borderId="0" xfId="4"/>
    <xf numFmtId="0" fontId="4" fillId="0" borderId="0" xfId="0" applyFont="1" applyAlignment="1">
      <alignment horizontal="left"/>
    </xf>
    <xf numFmtId="43" fontId="4" fillId="0" borderId="0" xfId="1" applyFont="1" applyFill="1"/>
    <xf numFmtId="44" fontId="14" fillId="2" borderId="0" xfId="3" applyNumberFormat="1" applyFill="1"/>
    <xf numFmtId="0" fontId="0" fillId="6" borderId="0" xfId="0" applyFill="1"/>
    <xf numFmtId="49" fontId="0" fillId="11" borderId="0" xfId="0" applyNumberFormat="1" applyFill="1"/>
    <xf numFmtId="0" fontId="0" fillId="11" borderId="0" xfId="0" applyFill="1"/>
    <xf numFmtId="0" fontId="4" fillId="11" borderId="0" xfId="0" applyFont="1" applyFill="1"/>
    <xf numFmtId="0" fontId="0" fillId="11" borderId="0" xfId="0" applyFill="1" applyAlignment="1">
      <alignment horizontal="right"/>
    </xf>
    <xf numFmtId="0" fontId="0" fillId="6" borderId="0" xfId="0" applyFill="1" applyAlignment="1">
      <alignment horizontal="center"/>
    </xf>
    <xf numFmtId="172" fontId="0" fillId="0" borderId="0" xfId="0" applyNumberFormat="1"/>
    <xf numFmtId="0" fontId="0" fillId="6" borderId="0" xfId="0" applyFill="1" applyAlignment="1">
      <alignment horizontal="center"/>
    </xf>
  </cellXfs>
  <cellStyles count="10">
    <cellStyle name="Moeda" xfId="2" builtinId="4"/>
    <cellStyle name="Moeda 2" xfId="9" xr:uid="{01F3C453-B0C2-4C6C-9F02-9923135C562E}"/>
    <cellStyle name="Normal" xfId="0" builtinId="0"/>
    <cellStyle name="Normal 2" xfId="3" xr:uid="{02D8075B-CA6C-4F46-8554-44BA32A92C84}"/>
    <cellStyle name="normal 2 2" xfId="4" xr:uid="{568A4A00-011B-4AD1-91BB-5B0A21901021}"/>
    <cellStyle name="Normal 2 3" xfId="6" xr:uid="{791DC67F-FE59-4946-ABD5-D1EE6357E232}"/>
    <cellStyle name="Nota 2" xfId="7" xr:uid="{9284B4F2-4ADE-4771-9C59-230C1D770911}"/>
    <cellStyle name="Vírgula" xfId="1" builtinId="3"/>
    <cellStyle name="Vírgula 2" xfId="8" xr:uid="{952522B1-8FFF-4EB4-BE8D-726259E6410D}"/>
    <cellStyle name="Vírgula 3" xfId="5" xr:uid="{6631DA8F-D9EF-4EC8-93D8-D3B2F4E7CD45}"/>
  </cellStyles>
  <dxfs count="0"/>
  <tableStyles count="1" defaultTableStyle="TableStyleMedium2" defaultPivotStyle="PivotStyleLight16">
    <tableStyle name="Invisible" pivot="0" table="0" count="0" xr9:uid="{3BBD26F2-FD7B-4D17-8322-D911BAF334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1FF4-35E9-442B-841F-DD1A933DB13C}">
  <sheetPr>
    <tabColor rgb="FF92D050"/>
  </sheetPr>
  <dimension ref="A1:P30"/>
  <sheetViews>
    <sheetView zoomScaleNormal="100" workbookViewId="0">
      <selection activeCell="K13" sqref="K13"/>
    </sheetView>
  </sheetViews>
  <sheetFormatPr defaultRowHeight="15" x14ac:dyDescent="0.25"/>
  <cols>
    <col min="1" max="1" width="12" customWidth="1"/>
    <col min="2" max="2" width="12" style="22" customWidth="1"/>
    <col min="3" max="3" width="33" bestFit="1" customWidth="1"/>
    <col min="4" max="4" width="18.42578125" bestFit="1" customWidth="1"/>
    <col min="5" max="5" width="12.28515625" customWidth="1"/>
    <col min="6" max="6" width="12.140625" bestFit="1" customWidth="1"/>
    <col min="7" max="7" width="11.5703125" bestFit="1" customWidth="1"/>
    <col min="8" max="8" width="12.5703125" bestFit="1" customWidth="1"/>
    <col min="9" max="9" width="14.28515625" customWidth="1"/>
    <col min="10" max="10" width="15.85546875" customWidth="1"/>
    <col min="11" max="12" width="13.85546875" style="77" customWidth="1"/>
    <col min="13" max="14" width="10.7109375" customWidth="1"/>
    <col min="15" max="16" width="15.5703125" customWidth="1"/>
    <col min="17" max="17" width="10.5703125" customWidth="1"/>
  </cols>
  <sheetData>
    <row r="1" spans="1:16" s="75" customFormat="1" ht="60" x14ac:dyDescent="0.25">
      <c r="A1" s="72" t="s">
        <v>0</v>
      </c>
      <c r="B1" s="73" t="s">
        <v>1</v>
      </c>
      <c r="C1" s="73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J1" s="119" t="s">
        <v>8</v>
      </c>
      <c r="K1" s="118" t="s">
        <v>9</v>
      </c>
      <c r="L1" s="118" t="s">
        <v>10</v>
      </c>
      <c r="O1" s="74" t="s">
        <v>11</v>
      </c>
      <c r="P1" s="74" t="s">
        <v>12</v>
      </c>
    </row>
    <row r="2" spans="1:16" x14ac:dyDescent="0.25">
      <c r="B2" t="s">
        <v>13</v>
      </c>
      <c r="C2" t="s">
        <v>14</v>
      </c>
      <c r="D2" s="76" t="s">
        <v>15</v>
      </c>
      <c r="E2" s="77">
        <v>5.0999999999999996</v>
      </c>
      <c r="F2" s="78">
        <v>45462</v>
      </c>
      <c r="G2" s="79">
        <v>108243</v>
      </c>
      <c r="H2">
        <v>12152</v>
      </c>
      <c r="J2" s="76" t="s">
        <v>15</v>
      </c>
      <c r="K2" s="77">
        <v>5.0999999999999996</v>
      </c>
      <c r="L2" s="77">
        <f t="shared" ref="L2:L21" si="0">+K2*$P$4</f>
        <v>4.6282499999999995</v>
      </c>
      <c r="O2">
        <f>1.65+7.6+7</f>
        <v>16.25</v>
      </c>
      <c r="P2">
        <f>1.65+7.6</f>
        <v>9.25</v>
      </c>
    </row>
    <row r="3" spans="1:16" x14ac:dyDescent="0.25">
      <c r="B3" t="s">
        <v>16</v>
      </c>
      <c r="C3" t="s">
        <v>17</v>
      </c>
      <c r="D3" s="76" t="s">
        <v>18</v>
      </c>
      <c r="E3" s="77">
        <v>7.2999999999999995E-2</v>
      </c>
      <c r="F3" s="78">
        <v>44944</v>
      </c>
      <c r="G3" s="79">
        <v>1266</v>
      </c>
      <c r="H3">
        <v>11312</v>
      </c>
      <c r="J3" s="76" t="s">
        <v>15</v>
      </c>
      <c r="K3" s="77">
        <v>7.2999999999999995E-2</v>
      </c>
      <c r="L3" s="77">
        <f t="shared" si="0"/>
        <v>6.6247500000000001E-2</v>
      </c>
      <c r="O3">
        <f>100-O2</f>
        <v>83.75</v>
      </c>
      <c r="P3">
        <f>100-P2</f>
        <v>90.75</v>
      </c>
    </row>
    <row r="4" spans="1:16" x14ac:dyDescent="0.25">
      <c r="B4" t="s">
        <v>19</v>
      </c>
      <c r="C4" t="s">
        <v>20</v>
      </c>
      <c r="D4" t="s">
        <v>21</v>
      </c>
      <c r="E4" s="80" t="s">
        <v>22</v>
      </c>
      <c r="F4" s="78" t="s">
        <v>22</v>
      </c>
      <c r="G4" s="79" t="s">
        <v>22</v>
      </c>
      <c r="J4" s="79" t="s">
        <v>22</v>
      </c>
      <c r="L4" s="77">
        <f t="shared" si="0"/>
        <v>0</v>
      </c>
      <c r="O4" s="167">
        <f>+O3/100</f>
        <v>0.83750000000000002</v>
      </c>
      <c r="P4" s="167">
        <f>+P3/100</f>
        <v>0.90749999999999997</v>
      </c>
    </row>
    <row r="5" spans="1:16" x14ac:dyDescent="0.25">
      <c r="B5" t="s">
        <v>23</v>
      </c>
      <c r="C5" t="s">
        <v>24</v>
      </c>
      <c r="D5" t="s">
        <v>21</v>
      </c>
      <c r="E5" s="80" t="s">
        <v>22</v>
      </c>
      <c r="F5" s="78" t="s">
        <v>22</v>
      </c>
      <c r="G5" s="79" t="s">
        <v>22</v>
      </c>
      <c r="J5" s="79" t="s">
        <v>22</v>
      </c>
      <c r="L5" s="77">
        <f t="shared" si="0"/>
        <v>0</v>
      </c>
    </row>
    <row r="6" spans="1:16" x14ac:dyDescent="0.25">
      <c r="B6" t="s">
        <v>25</v>
      </c>
      <c r="C6" t="s">
        <v>26</v>
      </c>
      <c r="D6" t="s">
        <v>21</v>
      </c>
      <c r="E6" s="80" t="s">
        <v>22</v>
      </c>
      <c r="F6" s="78" t="s">
        <v>22</v>
      </c>
      <c r="G6" s="79" t="s">
        <v>22</v>
      </c>
      <c r="J6" s="79" t="s">
        <v>22</v>
      </c>
      <c r="L6" s="77">
        <f t="shared" si="0"/>
        <v>0</v>
      </c>
    </row>
    <row r="7" spans="1:16" x14ac:dyDescent="0.25">
      <c r="B7" t="s">
        <v>27</v>
      </c>
      <c r="C7" t="s">
        <v>28</v>
      </c>
      <c r="D7" s="76" t="s">
        <v>18</v>
      </c>
      <c r="E7" s="77">
        <v>8.5999999999999993E-2</v>
      </c>
      <c r="F7" s="78">
        <v>45379</v>
      </c>
      <c r="G7" s="79">
        <v>14660</v>
      </c>
      <c r="H7">
        <v>10112</v>
      </c>
      <c r="J7" s="76" t="s">
        <v>15</v>
      </c>
      <c r="K7" s="77">
        <v>8.5999999999999993E-2</v>
      </c>
      <c r="L7" s="77">
        <f t="shared" si="0"/>
        <v>7.8044999999999989E-2</v>
      </c>
    </row>
    <row r="8" spans="1:16" x14ac:dyDescent="0.25">
      <c r="B8" t="s">
        <v>29</v>
      </c>
      <c r="C8" t="s">
        <v>30</v>
      </c>
      <c r="D8" s="76" t="s">
        <v>18</v>
      </c>
      <c r="E8" s="77">
        <v>8.5999999999999993E-2</v>
      </c>
      <c r="F8" s="78">
        <v>45379</v>
      </c>
      <c r="G8" s="79">
        <v>14660</v>
      </c>
      <c r="H8">
        <v>10112</v>
      </c>
      <c r="J8" s="76" t="s">
        <v>15</v>
      </c>
      <c r="K8" s="77">
        <v>8.5999999999999993E-2</v>
      </c>
      <c r="L8" s="77">
        <f t="shared" si="0"/>
        <v>7.8044999999999989E-2</v>
      </c>
    </row>
    <row r="9" spans="1:16" x14ac:dyDescent="0.25">
      <c r="B9" t="s">
        <v>31</v>
      </c>
      <c r="C9" t="s">
        <v>32</v>
      </c>
      <c r="D9" s="76" t="s">
        <v>18</v>
      </c>
      <c r="E9" s="77">
        <v>8.5999999999999993E-2</v>
      </c>
      <c r="F9" s="78">
        <v>45379</v>
      </c>
      <c r="G9" s="79">
        <v>14660</v>
      </c>
      <c r="H9">
        <v>10112</v>
      </c>
      <c r="J9" s="76" t="s">
        <v>15</v>
      </c>
      <c r="K9" s="77">
        <v>8.5999999999999993E-2</v>
      </c>
      <c r="L9" s="77">
        <f t="shared" si="0"/>
        <v>7.8044999999999989E-2</v>
      </c>
    </row>
    <row r="10" spans="1:16" x14ac:dyDescent="0.25">
      <c r="B10" t="s">
        <v>33</v>
      </c>
      <c r="C10" t="s">
        <v>34</v>
      </c>
      <c r="D10" t="s">
        <v>21</v>
      </c>
      <c r="E10" s="80" t="s">
        <v>22</v>
      </c>
      <c r="F10" s="78" t="s">
        <v>22</v>
      </c>
      <c r="G10" s="79" t="s">
        <v>22</v>
      </c>
      <c r="J10" s="76" t="s">
        <v>15</v>
      </c>
      <c r="K10" s="77">
        <v>8.5999999999999993E-2</v>
      </c>
      <c r="L10" s="77">
        <f t="shared" si="0"/>
        <v>7.8044999999999989E-2</v>
      </c>
    </row>
    <row r="11" spans="1:16" x14ac:dyDescent="0.25">
      <c r="B11" t="s">
        <v>35</v>
      </c>
      <c r="C11" t="s">
        <v>36</v>
      </c>
      <c r="D11" s="76" t="s">
        <v>18</v>
      </c>
      <c r="E11" s="77">
        <v>9.6000000000000002E-2</v>
      </c>
      <c r="F11" s="78">
        <v>45351</v>
      </c>
      <c r="G11" s="79">
        <v>1846</v>
      </c>
      <c r="H11">
        <v>11312</v>
      </c>
      <c r="J11" s="76" t="s">
        <v>15</v>
      </c>
      <c r="K11" s="77">
        <v>9.6000000000000002E-2</v>
      </c>
      <c r="L11" s="77">
        <f t="shared" si="0"/>
        <v>8.7120000000000003E-2</v>
      </c>
      <c r="N11" s="81"/>
    </row>
    <row r="12" spans="1:16" x14ac:dyDescent="0.25">
      <c r="B12" t="s">
        <v>37</v>
      </c>
      <c r="C12" t="s">
        <v>38</v>
      </c>
      <c r="D12" s="76" t="s">
        <v>39</v>
      </c>
      <c r="E12" s="77" t="s">
        <v>40</v>
      </c>
      <c r="F12" s="78">
        <v>45379</v>
      </c>
      <c r="G12" s="79" t="s">
        <v>41</v>
      </c>
      <c r="H12" t="s">
        <v>42</v>
      </c>
      <c r="J12" s="76" t="s">
        <v>15</v>
      </c>
      <c r="K12" s="82">
        <v>6.2</v>
      </c>
      <c r="L12" s="77">
        <f t="shared" si="0"/>
        <v>5.6265000000000001</v>
      </c>
    </row>
    <row r="13" spans="1:16" x14ac:dyDescent="0.25">
      <c r="B13" t="s">
        <v>43</v>
      </c>
      <c r="C13" t="s">
        <v>44</v>
      </c>
      <c r="D13" s="76" t="s">
        <v>18</v>
      </c>
      <c r="E13" s="77">
        <v>0.109</v>
      </c>
      <c r="F13" s="78">
        <v>45443</v>
      </c>
      <c r="G13" s="79">
        <v>67524</v>
      </c>
      <c r="H13">
        <v>10825</v>
      </c>
      <c r="J13" s="76" t="s">
        <v>15</v>
      </c>
      <c r="K13" s="77">
        <v>0.06</v>
      </c>
      <c r="L13" s="77">
        <f t="shared" si="0"/>
        <v>5.4449999999999998E-2</v>
      </c>
    </row>
    <row r="14" spans="1:16" x14ac:dyDescent="0.25">
      <c r="A14" t="s">
        <v>45</v>
      </c>
      <c r="B14" t="s">
        <v>46</v>
      </c>
      <c r="C14" t="s">
        <v>47</v>
      </c>
      <c r="D14" s="79" t="s">
        <v>48</v>
      </c>
      <c r="E14" s="83">
        <f>48/300</f>
        <v>0.16</v>
      </c>
      <c r="F14" s="78">
        <v>45350</v>
      </c>
      <c r="G14" s="79">
        <v>22152</v>
      </c>
      <c r="H14">
        <v>14498</v>
      </c>
      <c r="I14" t="s">
        <v>49</v>
      </c>
      <c r="J14" s="76" t="s">
        <v>50</v>
      </c>
      <c r="K14" s="83">
        <f>0.032</f>
        <v>3.2000000000000001E-2</v>
      </c>
      <c r="L14" s="77">
        <f t="shared" si="0"/>
        <v>2.904E-2</v>
      </c>
    </row>
    <row r="15" spans="1:16" x14ac:dyDescent="0.25">
      <c r="A15" t="s">
        <v>51</v>
      </c>
      <c r="B15" t="s">
        <v>52</v>
      </c>
      <c r="C15" t="s">
        <v>53</v>
      </c>
      <c r="D15" s="79" t="s">
        <v>48</v>
      </c>
      <c r="E15" s="83">
        <f>5.6/100</f>
        <v>5.5999999999999994E-2</v>
      </c>
      <c r="F15" s="78">
        <v>45453</v>
      </c>
      <c r="G15" s="79">
        <v>7765</v>
      </c>
      <c r="H15">
        <v>11427</v>
      </c>
      <c r="I15" t="s">
        <v>54</v>
      </c>
      <c r="J15" s="76" t="s">
        <v>50</v>
      </c>
      <c r="K15" s="83">
        <f>5.6/100</f>
        <v>5.5999999999999994E-2</v>
      </c>
      <c r="L15" s="77">
        <f t="shared" si="0"/>
        <v>5.081999999999999E-2</v>
      </c>
    </row>
    <row r="16" spans="1:16" x14ac:dyDescent="0.25">
      <c r="A16" t="s">
        <v>55</v>
      </c>
      <c r="B16" t="s">
        <v>56</v>
      </c>
      <c r="C16" t="s">
        <v>57</v>
      </c>
      <c r="D16" s="79" t="s">
        <v>58</v>
      </c>
      <c r="E16" s="83">
        <v>9.6000000000000002E-2</v>
      </c>
      <c r="F16" s="78">
        <v>45379</v>
      </c>
      <c r="G16" s="79">
        <v>8617</v>
      </c>
      <c r="H16">
        <v>10212</v>
      </c>
      <c r="I16" t="s">
        <v>59</v>
      </c>
      <c r="J16" s="76" t="s">
        <v>15</v>
      </c>
      <c r="K16" s="83">
        <v>9.6000000000000002E-2</v>
      </c>
      <c r="L16" s="77">
        <f t="shared" si="0"/>
        <v>8.7120000000000003E-2</v>
      </c>
    </row>
    <row r="17" spans="1:12" x14ac:dyDescent="0.25">
      <c r="B17" s="22" t="s">
        <v>60</v>
      </c>
      <c r="C17" t="s">
        <v>61</v>
      </c>
      <c r="D17" s="79" t="s">
        <v>58</v>
      </c>
      <c r="E17" s="83">
        <v>6.4000000000000001E-2</v>
      </c>
      <c r="F17" s="78">
        <v>45264</v>
      </c>
      <c r="G17" s="79">
        <v>8156</v>
      </c>
      <c r="H17">
        <v>10212</v>
      </c>
      <c r="I17" t="s">
        <v>62</v>
      </c>
      <c r="J17" s="76" t="s">
        <v>15</v>
      </c>
      <c r="K17" s="83">
        <v>6.4000000000000001E-2</v>
      </c>
      <c r="L17" s="77">
        <f t="shared" si="0"/>
        <v>5.808E-2</v>
      </c>
    </row>
    <row r="18" spans="1:12" x14ac:dyDescent="0.25">
      <c r="A18" t="s">
        <v>63</v>
      </c>
      <c r="B18" t="s">
        <v>64</v>
      </c>
      <c r="C18" t="s">
        <v>65</v>
      </c>
      <c r="D18" s="79" t="s">
        <v>48</v>
      </c>
      <c r="E18" s="83">
        <f>320/3000</f>
        <v>0.10666666666666667</v>
      </c>
      <c r="F18" s="78">
        <v>45350</v>
      </c>
      <c r="G18" s="79">
        <v>128237</v>
      </c>
      <c r="H18">
        <v>11413</v>
      </c>
      <c r="I18" t="s">
        <v>66</v>
      </c>
      <c r="J18" s="76" t="s">
        <v>50</v>
      </c>
      <c r="K18" s="83">
        <f>320/3000</f>
        <v>0.10666666666666667</v>
      </c>
      <c r="L18" s="77">
        <f t="shared" si="0"/>
        <v>9.6799999999999997E-2</v>
      </c>
    </row>
    <row r="19" spans="1:12" x14ac:dyDescent="0.25">
      <c r="A19" t="s">
        <v>67</v>
      </c>
      <c r="B19" t="s">
        <v>68</v>
      </c>
      <c r="C19" t="s">
        <v>69</v>
      </c>
      <c r="D19" s="79" t="s">
        <v>18</v>
      </c>
      <c r="E19" s="80">
        <v>1.2330000000000001</v>
      </c>
      <c r="F19" s="78">
        <v>44812</v>
      </c>
      <c r="G19" s="79">
        <v>14904</v>
      </c>
      <c r="H19">
        <v>12851</v>
      </c>
      <c r="J19" s="76" t="s">
        <v>15</v>
      </c>
      <c r="K19" s="80">
        <v>1.2330000000000001</v>
      </c>
      <c r="L19" s="77">
        <f t="shared" si="0"/>
        <v>1.1189475</v>
      </c>
    </row>
    <row r="20" spans="1:12" x14ac:dyDescent="0.25">
      <c r="A20" s="22" t="s">
        <v>70</v>
      </c>
      <c r="B20" t="s">
        <v>71</v>
      </c>
      <c r="C20" t="s">
        <v>72</v>
      </c>
      <c r="D20" s="79" t="s">
        <v>73</v>
      </c>
      <c r="E20" s="80">
        <v>1.45</v>
      </c>
      <c r="F20" s="78">
        <v>45240</v>
      </c>
      <c r="G20" s="79">
        <v>286</v>
      </c>
      <c r="H20">
        <v>13057</v>
      </c>
      <c r="J20" s="76" t="s">
        <v>15</v>
      </c>
      <c r="K20" s="80">
        <v>1.45</v>
      </c>
      <c r="L20" s="77">
        <f t="shared" si="0"/>
        <v>1.3158749999999999</v>
      </c>
    </row>
    <row r="21" spans="1:12" x14ac:dyDescent="0.25">
      <c r="B21" s="22" t="s">
        <v>74</v>
      </c>
      <c r="C21" t="s">
        <v>75</v>
      </c>
      <c r="D21" s="79" t="s">
        <v>18</v>
      </c>
      <c r="E21" s="80">
        <f>10584/10000</f>
        <v>1.0584</v>
      </c>
      <c r="F21" s="78">
        <v>45381</v>
      </c>
      <c r="G21" s="79">
        <v>1363</v>
      </c>
      <c r="H21">
        <v>11312</v>
      </c>
      <c r="J21" s="76" t="s">
        <v>15</v>
      </c>
      <c r="K21" s="80">
        <f>10584/10000</f>
        <v>1.0584</v>
      </c>
      <c r="L21" s="77">
        <f t="shared" si="0"/>
        <v>0.96049799999999996</v>
      </c>
    </row>
    <row r="22" spans="1:12" x14ac:dyDescent="0.25">
      <c r="D22" s="79"/>
      <c r="E22" s="80"/>
      <c r="F22" s="78"/>
      <c r="G22" s="79"/>
      <c r="J22" s="76"/>
      <c r="K22" s="80"/>
      <c r="L22" s="80"/>
    </row>
    <row r="23" spans="1:12" x14ac:dyDescent="0.25">
      <c r="B23" s="26" t="s">
        <v>76</v>
      </c>
      <c r="C23" s="27" t="s">
        <v>77</v>
      </c>
      <c r="D23" s="79" t="s">
        <v>78</v>
      </c>
      <c r="E23" s="80"/>
      <c r="F23" s="78"/>
      <c r="G23" s="79"/>
      <c r="J23" s="76"/>
      <c r="K23" s="80">
        <f>SUM(K24:K25)</f>
        <v>0.55324079999999998</v>
      </c>
      <c r="L23" s="77">
        <f>+K23*$P$4</f>
        <v>0.50206602599999994</v>
      </c>
    </row>
    <row r="24" spans="1:12" x14ac:dyDescent="0.25">
      <c r="A24" s="22" t="s">
        <v>79</v>
      </c>
      <c r="B24" s="66" t="s">
        <v>80</v>
      </c>
      <c r="C24" s="67" t="s">
        <v>81</v>
      </c>
      <c r="D24" s="76" t="s">
        <v>82</v>
      </c>
      <c r="E24" s="77">
        <f>13.0208/1000</f>
        <v>1.3020799999999999E-2</v>
      </c>
      <c r="F24" s="78">
        <v>45412</v>
      </c>
      <c r="G24" s="79">
        <v>15158</v>
      </c>
      <c r="H24">
        <v>12519</v>
      </c>
      <c r="J24" s="76" t="s">
        <v>83</v>
      </c>
      <c r="K24" s="77">
        <f>13.0208/1000</f>
        <v>1.3020799999999999E-2</v>
      </c>
      <c r="L24" s="77">
        <f>+K24*$P$4</f>
        <v>1.1816375999999998E-2</v>
      </c>
    </row>
    <row r="25" spans="1:12" ht="15.75" thickBot="1" x14ac:dyDescent="0.3">
      <c r="B25" s="69" t="s">
        <v>84</v>
      </c>
      <c r="C25" s="70" t="s">
        <v>85</v>
      </c>
      <c r="D25" s="76" t="s">
        <v>18</v>
      </c>
      <c r="E25" s="84">
        <f>540.22/1000</f>
        <v>0.54022000000000003</v>
      </c>
      <c r="F25" s="78">
        <v>45462</v>
      </c>
      <c r="G25" s="79">
        <v>2054</v>
      </c>
      <c r="H25">
        <v>11312</v>
      </c>
      <c r="J25" s="76" t="s">
        <v>15</v>
      </c>
      <c r="K25" s="84">
        <f>540.22/1000</f>
        <v>0.54022000000000003</v>
      </c>
      <c r="L25" s="77">
        <f>+K25*$P$4</f>
        <v>0.49024965000000004</v>
      </c>
    </row>
    <row r="26" spans="1:12" x14ac:dyDescent="0.25">
      <c r="B26" s="113"/>
      <c r="C26" s="114"/>
      <c r="D26" s="76"/>
      <c r="E26" s="115"/>
      <c r="F26" s="78"/>
      <c r="G26" s="79"/>
      <c r="J26" s="76"/>
      <c r="K26" s="115"/>
    </row>
    <row r="27" spans="1:12" x14ac:dyDescent="0.25">
      <c r="B27" s="22" t="s">
        <v>86</v>
      </c>
      <c r="C27" t="s">
        <v>87</v>
      </c>
      <c r="D27" s="76" t="s">
        <v>82</v>
      </c>
      <c r="E27" s="117">
        <v>1</v>
      </c>
      <c r="F27" s="78"/>
      <c r="J27" s="76" t="s">
        <v>88</v>
      </c>
      <c r="K27" s="77">
        <v>7.79</v>
      </c>
      <c r="L27" s="77">
        <f>+K27*$P$4</f>
        <v>7.0694249999999998</v>
      </c>
    </row>
    <row r="28" spans="1:12" x14ac:dyDescent="0.25">
      <c r="B28" t="s">
        <v>89</v>
      </c>
      <c r="C28" t="s">
        <v>90</v>
      </c>
      <c r="D28" s="79" t="s">
        <v>91</v>
      </c>
      <c r="E28" s="116">
        <f>+'estruturas MODELOS'!D8</f>
        <v>0.33</v>
      </c>
      <c r="F28" s="78"/>
      <c r="J28" s="76" t="s">
        <v>92</v>
      </c>
      <c r="K28" s="77">
        <f>(E27/E28)*K27</f>
        <v>23.606060606060606</v>
      </c>
      <c r="L28" s="77">
        <f>+K28*$P$4</f>
        <v>21.422499999999999</v>
      </c>
    </row>
    <row r="29" spans="1:12" x14ac:dyDescent="0.25">
      <c r="B29" t="s">
        <v>93</v>
      </c>
      <c r="C29" t="s">
        <v>94</v>
      </c>
      <c r="D29" s="79" t="s">
        <v>91</v>
      </c>
      <c r="E29" s="116">
        <f>+E27-E28</f>
        <v>0.66999999999999993</v>
      </c>
      <c r="J29" s="76" t="s">
        <v>95</v>
      </c>
      <c r="K29" s="77">
        <f>(E27/E29)*K27</f>
        <v>11.626865671641792</v>
      </c>
      <c r="L29" s="77">
        <f>+K29*$P$4</f>
        <v>10.551380597014926</v>
      </c>
    </row>
    <row r="30" spans="1:12" x14ac:dyDescent="0.25">
      <c r="B30" s="22" t="s">
        <v>96</v>
      </c>
      <c r="C30" t="s">
        <v>97</v>
      </c>
      <c r="D30" s="79" t="s">
        <v>91</v>
      </c>
      <c r="E30" s="116">
        <v>0.95</v>
      </c>
      <c r="J30" s="76" t="s">
        <v>88</v>
      </c>
      <c r="K30" s="77">
        <f>(E27/E30)*K27</f>
        <v>8.1999999999999993</v>
      </c>
      <c r="L30" s="77">
        <f>+K30*$P$4</f>
        <v>7.4414999999999996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AFB6-57D3-4815-A95E-7F2F817BAB8C}">
  <sheetPr>
    <tabColor rgb="FFC00000"/>
  </sheetPr>
  <dimension ref="A1:M187"/>
  <sheetViews>
    <sheetView zoomScale="90" zoomScaleNormal="90" workbookViewId="0">
      <pane ySplit="3" topLeftCell="A4" activePane="bottomLeft" state="frozen"/>
      <selection pane="bottomLeft" activeCell="E19" sqref="E19"/>
    </sheetView>
  </sheetViews>
  <sheetFormatPr defaultColWidth="9.140625" defaultRowHeight="15" outlineLevelRow="1" x14ac:dyDescent="0.25"/>
  <cols>
    <col min="1" max="1" width="20.7109375" style="39" customWidth="1"/>
    <col min="2" max="2" width="42.85546875" style="37" customWidth="1"/>
    <col min="3" max="3" width="17.7109375" style="37" customWidth="1"/>
    <col min="4" max="4" width="13.5703125" style="25" customWidth="1"/>
    <col min="5" max="5" width="19" style="100" customWidth="1"/>
    <col min="6" max="6" width="16.42578125" style="87" customWidth="1"/>
    <col min="7" max="7" width="9.140625" style="37"/>
    <col min="8" max="8" width="12" style="37" bestFit="1" customWidth="1"/>
    <col min="9" max="12" width="9.140625" style="37"/>
    <col min="13" max="13" width="12.140625" style="37" bestFit="1" customWidth="1"/>
    <col min="14" max="16384" width="9.140625" style="37"/>
  </cols>
  <sheetData>
    <row r="1" spans="1:8" x14ac:dyDescent="0.25">
      <c r="A1" s="1"/>
      <c r="B1" s="2" t="s">
        <v>98</v>
      </c>
      <c r="C1" s="3">
        <v>45471</v>
      </c>
      <c r="D1" s="4"/>
      <c r="E1" s="96"/>
      <c r="F1" s="85"/>
    </row>
    <row r="2" spans="1:8" x14ac:dyDescent="0.25">
      <c r="A2" s="1"/>
      <c r="B2" s="5"/>
      <c r="C2" s="5"/>
      <c r="D2" s="4"/>
      <c r="E2" s="96"/>
      <c r="F2" s="85"/>
    </row>
    <row r="3" spans="1:8" ht="15.75" thickBot="1" x14ac:dyDescent="0.3">
      <c r="A3" s="6" t="s">
        <v>99</v>
      </c>
      <c r="B3" s="7" t="s">
        <v>100</v>
      </c>
      <c r="C3" s="8" t="s">
        <v>101</v>
      </c>
      <c r="D3" s="7" t="s">
        <v>102</v>
      </c>
      <c r="E3" s="7" t="s">
        <v>103</v>
      </c>
      <c r="F3" s="7" t="s">
        <v>104</v>
      </c>
    </row>
    <row r="4" spans="1:8" ht="15.75" thickTop="1" x14ac:dyDescent="0.25">
      <c r="A4" s="9"/>
      <c r="B4" s="4"/>
      <c r="C4" s="4"/>
      <c r="D4" s="4"/>
      <c r="E4" s="96"/>
      <c r="F4" s="85"/>
    </row>
    <row r="5" spans="1:8" ht="15.75" thickBot="1" x14ac:dyDescent="0.3">
      <c r="A5" s="10" t="s">
        <v>105</v>
      </c>
      <c r="B5" s="11"/>
      <c r="C5" s="4"/>
      <c r="D5" s="4"/>
      <c r="E5" s="96"/>
      <c r="F5" s="21"/>
    </row>
    <row r="6" spans="1:8" ht="15.75" thickBot="1" x14ac:dyDescent="0.3">
      <c r="A6" s="12"/>
      <c r="B6" s="12" t="s">
        <v>106</v>
      </c>
      <c r="C6" s="4"/>
      <c r="D6" s="13"/>
      <c r="F6" s="21"/>
    </row>
    <row r="7" spans="1:8" x14ac:dyDescent="0.25">
      <c r="A7" s="14" t="s">
        <v>107</v>
      </c>
      <c r="B7" s="15" t="s">
        <v>108</v>
      </c>
      <c r="C7" s="16" t="s">
        <v>109</v>
      </c>
      <c r="D7" s="17">
        <v>5</v>
      </c>
      <c r="E7" s="97"/>
      <c r="F7" s="21"/>
    </row>
    <row r="8" spans="1:8" x14ac:dyDescent="0.25">
      <c r="A8" s="18" t="s">
        <v>89</v>
      </c>
      <c r="B8" s="19" t="s">
        <v>110</v>
      </c>
      <c r="C8" s="20" t="s">
        <v>111</v>
      </c>
      <c r="D8" s="121">
        <v>0.33</v>
      </c>
      <c r="E8" s="126">
        <f>VLOOKUP(A8,'custo unitário INSUMOS'!B:L,11,0)*D7</f>
        <v>107.1125</v>
      </c>
      <c r="F8" s="21"/>
      <c r="G8" s="53"/>
      <c r="H8" s="102"/>
    </row>
    <row r="9" spans="1:8" x14ac:dyDescent="0.25">
      <c r="A9" s="23" t="s">
        <v>13</v>
      </c>
      <c r="B9" s="24" t="s">
        <v>14</v>
      </c>
      <c r="C9" s="24" t="s">
        <v>112</v>
      </c>
      <c r="D9" s="122">
        <v>1</v>
      </c>
      <c r="E9" s="127">
        <f>VLOOKUP(A9,'custo unitário INSUMOS'!B:L,11,0)*D9</f>
        <v>4.6282499999999995</v>
      </c>
      <c r="F9" s="21"/>
    </row>
    <row r="10" spans="1:8" x14ac:dyDescent="0.25">
      <c r="A10" s="26" t="s">
        <v>76</v>
      </c>
      <c r="B10" s="27" t="s">
        <v>77</v>
      </c>
      <c r="C10" s="28" t="s">
        <v>112</v>
      </c>
      <c r="D10" s="123">
        <v>1</v>
      </c>
      <c r="E10" s="127">
        <f>VLOOKUP(A10,'custo unitário INSUMOS'!B:L,11,0)*D10</f>
        <v>0.50206602599999994</v>
      </c>
      <c r="F10" s="86"/>
    </row>
    <row r="11" spans="1:8" x14ac:dyDescent="0.25">
      <c r="A11" s="29" t="s">
        <v>43</v>
      </c>
      <c r="B11" s="30" t="s">
        <v>44</v>
      </c>
      <c r="C11" s="30" t="s">
        <v>113</v>
      </c>
      <c r="D11" s="124">
        <v>3</v>
      </c>
      <c r="E11" s="127">
        <f>VLOOKUP(A11,'custo unitário INSUMOS'!B:L,11,0)*D11</f>
        <v>0.16335</v>
      </c>
      <c r="F11" s="86"/>
    </row>
    <row r="12" spans="1:8" x14ac:dyDescent="0.25">
      <c r="A12" s="31" t="s">
        <v>46</v>
      </c>
      <c r="B12" s="28" t="s">
        <v>47</v>
      </c>
      <c r="C12" s="28" t="s">
        <v>114</v>
      </c>
      <c r="D12" s="123">
        <f>17/100</f>
        <v>0.17</v>
      </c>
      <c r="E12" s="127">
        <f>VLOOKUP(A12,'custo unitário INSUMOS'!B:L,11,0)*D12</f>
        <v>4.9368000000000007E-3</v>
      </c>
      <c r="F12" s="86"/>
    </row>
    <row r="13" spans="1:8" x14ac:dyDescent="0.25">
      <c r="A13" s="31" t="s">
        <v>52</v>
      </c>
      <c r="B13" s="28" t="s">
        <v>53</v>
      </c>
      <c r="C13" s="28" t="s">
        <v>114</v>
      </c>
      <c r="D13" s="123">
        <v>1.35</v>
      </c>
      <c r="E13" s="127">
        <f>VLOOKUP(A13,'custo unitário INSUMOS'!B:L,11,0)*D13</f>
        <v>6.8606999999999987E-2</v>
      </c>
      <c r="F13" s="86"/>
    </row>
    <row r="14" spans="1:8" x14ac:dyDescent="0.25">
      <c r="A14" s="111" t="s">
        <v>31</v>
      </c>
      <c r="B14" s="24" t="s">
        <v>32</v>
      </c>
      <c r="C14" s="24" t="s">
        <v>112</v>
      </c>
      <c r="D14" s="122">
        <v>1</v>
      </c>
      <c r="E14" s="127">
        <f>VLOOKUP(A14,'custo unitário INSUMOS'!B:L,11,0)*D14</f>
        <v>7.8044999999999989E-2</v>
      </c>
      <c r="F14" s="86"/>
    </row>
    <row r="15" spans="1:8" ht="15.75" thickBot="1" x14ac:dyDescent="0.3">
      <c r="A15" s="34" t="s">
        <v>56</v>
      </c>
      <c r="B15" s="35" t="s">
        <v>57</v>
      </c>
      <c r="C15" s="35" t="s">
        <v>112</v>
      </c>
      <c r="D15" s="125">
        <v>1</v>
      </c>
      <c r="E15" s="127">
        <f>VLOOKUP(A15,'custo unitário INSUMOS'!B:L,11,0)*D15</f>
        <v>8.7120000000000003E-2</v>
      </c>
      <c r="F15" s="86"/>
    </row>
    <row r="16" spans="1:8" ht="15.75" thickBot="1" x14ac:dyDescent="0.3">
      <c r="A16" s="166" t="s">
        <v>115</v>
      </c>
      <c r="B16" s="35"/>
      <c r="E16" s="99"/>
      <c r="F16" s="86"/>
    </row>
    <row r="17" spans="1:6" ht="15.75" thickBot="1" x14ac:dyDescent="0.3">
      <c r="A17" s="34" t="s">
        <v>60</v>
      </c>
      <c r="B17" s="35" t="s">
        <v>61</v>
      </c>
      <c r="C17" s="35" t="s">
        <v>112</v>
      </c>
      <c r="D17" s="125">
        <v>2</v>
      </c>
      <c r="E17" s="127">
        <f>VLOOKUP(A17,'custo unitário INSUMOS'!B:L,11,0)*D17</f>
        <v>0.11616</v>
      </c>
      <c r="F17" s="86"/>
    </row>
    <row r="18" spans="1:6" ht="15.75" thickBot="1" x14ac:dyDescent="0.3">
      <c r="A18" s="1"/>
      <c r="B18" s="5"/>
      <c r="C18" s="5"/>
      <c r="D18" s="37"/>
      <c r="E18" s="96"/>
      <c r="F18" s="85"/>
    </row>
    <row r="19" spans="1:6" x14ac:dyDescent="0.25">
      <c r="A19" s="1"/>
      <c r="B19" s="5"/>
      <c r="C19" s="5" t="s">
        <v>116</v>
      </c>
      <c r="D19" s="134" t="s">
        <v>117</v>
      </c>
      <c r="E19" s="132">
        <f>SUM(E8:E15)</f>
        <v>112.64487482599998</v>
      </c>
      <c r="F19" s="112">
        <f>+E19/D7</f>
        <v>22.528974965199996</v>
      </c>
    </row>
    <row r="20" spans="1:6" ht="15.75" thickBot="1" x14ac:dyDescent="0.3">
      <c r="A20" s="1"/>
      <c r="B20" s="5"/>
      <c r="C20" s="5" t="s">
        <v>118</v>
      </c>
      <c r="D20" s="135" t="s">
        <v>117</v>
      </c>
      <c r="E20" s="133">
        <f>SUM(E8:E14,E17)</f>
        <v>112.67391482599997</v>
      </c>
      <c r="F20" s="129">
        <f>+E20/D7</f>
        <v>22.534782965199994</v>
      </c>
    </row>
    <row r="21" spans="1:6" ht="15.75" thickBot="1" x14ac:dyDescent="0.3">
      <c r="A21" s="1"/>
      <c r="B21" s="5"/>
      <c r="C21" s="5"/>
      <c r="D21" s="4"/>
      <c r="E21" s="130" t="s">
        <v>119</v>
      </c>
      <c r="F21" s="131" t="s">
        <v>82</v>
      </c>
    </row>
    <row r="22" spans="1:6" ht="15.75" thickBot="1" x14ac:dyDescent="0.3"/>
    <row r="23" spans="1:6" ht="15.75" thickBot="1" x14ac:dyDescent="0.3">
      <c r="A23" s="12" t="s">
        <v>120</v>
      </c>
      <c r="B23" s="12" t="s">
        <v>121</v>
      </c>
      <c r="D23" s="40"/>
      <c r="F23" s="88"/>
    </row>
    <row r="24" spans="1:6" x14ac:dyDescent="0.25">
      <c r="A24" s="14" t="s">
        <v>122</v>
      </c>
      <c r="B24" s="15" t="s">
        <v>123</v>
      </c>
      <c r="C24" s="16" t="s">
        <v>124</v>
      </c>
      <c r="D24" s="17">
        <v>1</v>
      </c>
      <c r="E24" s="97"/>
      <c r="F24" s="21"/>
    </row>
    <row r="25" spans="1:6" x14ac:dyDescent="0.25">
      <c r="A25" s="18" t="s">
        <v>89</v>
      </c>
      <c r="B25" s="19" t="s">
        <v>110</v>
      </c>
      <c r="C25" s="20" t="s">
        <v>111</v>
      </c>
      <c r="D25" s="121">
        <f>+D8</f>
        <v>0.33</v>
      </c>
      <c r="E25" s="126">
        <f>VLOOKUP(A25,'custo unitário INSUMOS'!B:L,11,0)*D24</f>
        <v>21.422499999999999</v>
      </c>
      <c r="F25" s="21"/>
    </row>
    <row r="26" spans="1:6" x14ac:dyDescent="0.25">
      <c r="A26" s="31" t="s">
        <v>46</v>
      </c>
      <c r="B26" s="28" t="s">
        <v>47</v>
      </c>
      <c r="C26" s="28" t="s">
        <v>114</v>
      </c>
      <c r="D26" s="123">
        <f>17/100</f>
        <v>0.17</v>
      </c>
      <c r="E26" s="127">
        <f>VLOOKUP(A26,'custo unitário INSUMOS'!B:L,11,0)*D26</f>
        <v>4.9368000000000007E-3</v>
      </c>
      <c r="F26" s="86"/>
    </row>
    <row r="27" spans="1:6" x14ac:dyDescent="0.25">
      <c r="A27" s="111" t="s">
        <v>31</v>
      </c>
      <c r="B27" s="42" t="s">
        <v>125</v>
      </c>
      <c r="C27" s="28" t="s">
        <v>112</v>
      </c>
      <c r="D27" s="123">
        <v>1</v>
      </c>
      <c r="E27" s="127">
        <f>VLOOKUP(A27,'custo unitário INSUMOS'!B:L,11,0)*D27</f>
        <v>7.8044999999999989E-2</v>
      </c>
      <c r="F27" s="86"/>
    </row>
    <row r="28" spans="1:6" ht="15.75" thickBot="1" x14ac:dyDescent="0.3">
      <c r="A28" s="43" t="s">
        <v>16</v>
      </c>
      <c r="B28" s="35" t="s">
        <v>17</v>
      </c>
      <c r="C28" s="35" t="s">
        <v>112</v>
      </c>
      <c r="D28" s="125">
        <v>1</v>
      </c>
      <c r="E28" s="127">
        <f>VLOOKUP(A28,'custo unitário INSUMOS'!B:L,11,0)*D28</f>
        <v>6.6247500000000001E-2</v>
      </c>
      <c r="F28" s="86"/>
    </row>
    <row r="29" spans="1:6" ht="15.75" thickBot="1" x14ac:dyDescent="0.3">
      <c r="A29" s="1"/>
      <c r="B29" s="5"/>
      <c r="C29" s="5"/>
      <c r="D29" s="4"/>
      <c r="E29" s="96"/>
      <c r="F29" s="85"/>
    </row>
    <row r="30" spans="1:6" ht="15.75" thickBot="1" x14ac:dyDescent="0.3">
      <c r="D30" s="136" t="s">
        <v>117</v>
      </c>
      <c r="E30" s="132">
        <f>SUM(E25:E28)</f>
        <v>21.571729299999998</v>
      </c>
      <c r="F30" s="112">
        <f>+E30/D24</f>
        <v>21.571729299999998</v>
      </c>
    </row>
    <row r="31" spans="1:6" ht="15.75" thickBot="1" x14ac:dyDescent="0.3">
      <c r="D31" s="4"/>
      <c r="E31" s="130" t="s">
        <v>119</v>
      </c>
      <c r="F31" s="131" t="s">
        <v>82</v>
      </c>
    </row>
    <row r="32" spans="1:6" ht="15.75" thickBot="1" x14ac:dyDescent="0.3">
      <c r="A32" s="44" t="s">
        <v>126</v>
      </c>
    </row>
    <row r="33" spans="1:6" x14ac:dyDescent="0.25">
      <c r="A33" s="14" t="s">
        <v>127</v>
      </c>
      <c r="B33" s="15" t="s">
        <v>128</v>
      </c>
      <c r="C33" s="16" t="s">
        <v>129</v>
      </c>
      <c r="D33" s="17">
        <v>15</v>
      </c>
      <c r="E33" s="97"/>
      <c r="F33" s="21"/>
    </row>
    <row r="34" spans="1:6" x14ac:dyDescent="0.25">
      <c r="A34" s="18" t="s">
        <v>89</v>
      </c>
      <c r="B34" s="19" t="s">
        <v>110</v>
      </c>
      <c r="C34" s="20" t="s">
        <v>111</v>
      </c>
      <c r="D34" s="121">
        <f>+D8</f>
        <v>0.33</v>
      </c>
      <c r="E34" s="126">
        <f>VLOOKUP(A34,'custo unitário INSUMOS'!B:L,11,0)*D33</f>
        <v>321.33749999999998</v>
      </c>
      <c r="F34" s="21"/>
    </row>
    <row r="35" spans="1:6" x14ac:dyDescent="0.25">
      <c r="A35" s="57" t="s">
        <v>37</v>
      </c>
      <c r="B35" s="128" t="s">
        <v>38</v>
      </c>
      <c r="C35" s="28" t="s">
        <v>112</v>
      </c>
      <c r="D35" s="123">
        <v>1</v>
      </c>
      <c r="E35" s="127">
        <f>VLOOKUP(A35,'custo unitário INSUMOS'!B:L,11,0)*D35</f>
        <v>5.6265000000000001</v>
      </c>
      <c r="F35" s="86"/>
    </row>
    <row r="36" spans="1:6" x14ac:dyDescent="0.25">
      <c r="A36" s="57" t="s">
        <v>74</v>
      </c>
      <c r="B36" t="s">
        <v>130</v>
      </c>
      <c r="C36" s="28" t="s">
        <v>112</v>
      </c>
      <c r="D36" s="123">
        <v>3</v>
      </c>
      <c r="E36" s="127">
        <f>VLOOKUP(A36,'custo unitário INSUMOS'!B:L,11,0)*D36</f>
        <v>2.881494</v>
      </c>
      <c r="F36" s="86"/>
    </row>
    <row r="37" spans="1:6" x14ac:dyDescent="0.25">
      <c r="A37" s="31" t="s">
        <v>46</v>
      </c>
      <c r="B37" s="28" t="s">
        <v>47</v>
      </c>
      <c r="C37" s="28" t="s">
        <v>114</v>
      </c>
      <c r="D37" s="123">
        <f>(17/100)*D39</f>
        <v>0.68</v>
      </c>
      <c r="E37" s="127">
        <f>VLOOKUP(A37,'custo unitário INSUMOS'!B:L,11,0)*D37</f>
        <v>1.9747200000000003E-2</v>
      </c>
      <c r="F37" s="86"/>
    </row>
    <row r="38" spans="1:6" x14ac:dyDescent="0.25">
      <c r="A38" s="31" t="s">
        <v>64</v>
      </c>
      <c r="B38" s="28" t="s">
        <v>65</v>
      </c>
      <c r="C38" s="28" t="s">
        <v>114</v>
      </c>
      <c r="D38" s="123">
        <v>2.68</v>
      </c>
      <c r="E38" s="127">
        <f>VLOOKUP(A38,'custo unitário INSUMOS'!B:L,11,0)*D38</f>
        <v>0.25942399999999999</v>
      </c>
      <c r="F38" s="86"/>
    </row>
    <row r="39" spans="1:6" ht="15.75" thickBot="1" x14ac:dyDescent="0.3">
      <c r="A39" s="111" t="s">
        <v>31</v>
      </c>
      <c r="B39" s="45" t="s">
        <v>125</v>
      </c>
      <c r="C39" s="35" t="s">
        <v>112</v>
      </c>
      <c r="D39" s="125">
        <v>4</v>
      </c>
      <c r="E39" s="127">
        <f>VLOOKUP(A39,'custo unitário INSUMOS'!B:L,11,0)*D39</f>
        <v>0.31217999999999996</v>
      </c>
      <c r="F39" s="86"/>
    </row>
    <row r="40" spans="1:6" ht="15.75" thickBot="1" x14ac:dyDescent="0.3"/>
    <row r="41" spans="1:6" ht="15.75" thickBot="1" x14ac:dyDescent="0.3">
      <c r="D41" s="136" t="s">
        <v>117</v>
      </c>
      <c r="E41" s="132">
        <f>SUM(E34:E39)</f>
        <v>330.43684519999999</v>
      </c>
      <c r="F41" s="112">
        <f>+E41/D33</f>
        <v>22.029123013333333</v>
      </c>
    </row>
    <row r="42" spans="1:6" ht="15.75" thickBot="1" x14ac:dyDescent="0.3">
      <c r="D42" s="4"/>
      <c r="E42" s="130" t="s">
        <v>119</v>
      </c>
      <c r="F42" s="131" t="s">
        <v>82</v>
      </c>
    </row>
    <row r="43" spans="1:6" ht="15.75" thickBot="1" x14ac:dyDescent="0.3">
      <c r="A43" s="44" t="s">
        <v>126</v>
      </c>
    </row>
    <row r="44" spans="1:6" x14ac:dyDescent="0.25">
      <c r="A44" s="14" t="s">
        <v>131</v>
      </c>
      <c r="B44" s="15" t="s">
        <v>132</v>
      </c>
      <c r="C44" s="16" t="s">
        <v>119</v>
      </c>
      <c r="D44" s="41">
        <v>30</v>
      </c>
      <c r="E44" s="97"/>
      <c r="F44" s="21"/>
    </row>
    <row r="45" spans="1:6" x14ac:dyDescent="0.25">
      <c r="A45" s="18" t="s">
        <v>89</v>
      </c>
      <c r="B45" s="19" t="s">
        <v>110</v>
      </c>
      <c r="C45" s="20" t="s">
        <v>111</v>
      </c>
      <c r="D45" s="121">
        <f>+D8</f>
        <v>0.33</v>
      </c>
      <c r="E45" s="126">
        <f>VLOOKUP(A45,'custo unitário INSUMOS'!B:L,11,0)*D44</f>
        <v>642.67499999999995</v>
      </c>
      <c r="F45" s="21"/>
    </row>
    <row r="46" spans="1:6" x14ac:dyDescent="0.25">
      <c r="A46" s="57" t="s">
        <v>37</v>
      </c>
      <c r="B46" s="128" t="s">
        <v>38</v>
      </c>
      <c r="C46" s="28" t="s">
        <v>112</v>
      </c>
      <c r="D46" s="123">
        <v>1</v>
      </c>
      <c r="E46" s="127">
        <f>VLOOKUP(A46,'custo unitário INSUMOS'!B:L,11,0)*D46</f>
        <v>5.6265000000000001</v>
      </c>
      <c r="F46" s="86"/>
    </row>
    <row r="47" spans="1:6" x14ac:dyDescent="0.25">
      <c r="A47" s="57" t="s">
        <v>74</v>
      </c>
      <c r="B47" t="s">
        <v>130</v>
      </c>
      <c r="C47" s="28" t="s">
        <v>112</v>
      </c>
      <c r="D47" s="123">
        <v>6</v>
      </c>
      <c r="E47" s="127">
        <f>VLOOKUP(A47,'custo unitário INSUMOS'!B:L,11,0)*D47</f>
        <v>5.762988</v>
      </c>
      <c r="F47" s="86"/>
    </row>
    <row r="48" spans="1:6" x14ac:dyDescent="0.25">
      <c r="A48" s="31" t="s">
        <v>46</v>
      </c>
      <c r="B48" s="28" t="s">
        <v>47</v>
      </c>
      <c r="C48" s="28" t="s">
        <v>114</v>
      </c>
      <c r="D48" s="123">
        <f>(17/100)*D50</f>
        <v>1.1900000000000002</v>
      </c>
      <c r="E48" s="127">
        <f>VLOOKUP(A48,'custo unitário INSUMOS'!B:L,11,0)*D48</f>
        <v>3.4557600000000008E-2</v>
      </c>
      <c r="F48" s="86"/>
    </row>
    <row r="49" spans="1:6" x14ac:dyDescent="0.25">
      <c r="A49" s="31" t="s">
        <v>64</v>
      </c>
      <c r="B49" s="28" t="s">
        <v>65</v>
      </c>
      <c r="C49" s="28" t="s">
        <v>114</v>
      </c>
      <c r="D49" s="123">
        <v>2.68</v>
      </c>
      <c r="E49" s="127">
        <f>VLOOKUP(A49,'custo unitário INSUMOS'!B:L,11,0)*D49</f>
        <v>0.25942399999999999</v>
      </c>
      <c r="F49" s="86"/>
    </row>
    <row r="50" spans="1:6" ht="15.75" thickBot="1" x14ac:dyDescent="0.3">
      <c r="A50" s="111" t="s">
        <v>31</v>
      </c>
      <c r="B50" s="45" t="s">
        <v>125</v>
      </c>
      <c r="C50" s="35" t="s">
        <v>112</v>
      </c>
      <c r="D50" s="125">
        <v>7</v>
      </c>
      <c r="E50" s="127">
        <f>VLOOKUP(A50,'custo unitário INSUMOS'!B:L,11,0)*D50</f>
        <v>0.54631499999999988</v>
      </c>
      <c r="F50" s="86"/>
    </row>
    <row r="51" spans="1:6" ht="15.75" thickBot="1" x14ac:dyDescent="0.3">
      <c r="A51" s="1"/>
      <c r="B51" s="5"/>
      <c r="C51" s="25"/>
    </row>
    <row r="52" spans="1:6" ht="15.75" thickBot="1" x14ac:dyDescent="0.3">
      <c r="D52" s="136" t="s">
        <v>117</v>
      </c>
      <c r="E52" s="132">
        <f>SUM(E45:E50)</f>
        <v>654.90478459999986</v>
      </c>
      <c r="F52" s="112">
        <f>+E52/D44</f>
        <v>21.830159486666663</v>
      </c>
    </row>
    <row r="53" spans="1:6" ht="15.75" thickBot="1" x14ac:dyDescent="0.3">
      <c r="D53" s="4"/>
      <c r="E53" s="130" t="s">
        <v>119</v>
      </c>
      <c r="F53" s="131" t="s">
        <v>82</v>
      </c>
    </row>
    <row r="55" spans="1:6" ht="15.75" hidden="1" outlineLevel="1" thickBot="1" x14ac:dyDescent="0.3">
      <c r="A55" s="10" t="s">
        <v>133</v>
      </c>
      <c r="B55" s="47"/>
      <c r="C55" s="5"/>
      <c r="D55" s="5"/>
      <c r="E55" s="101"/>
      <c r="F55" s="89"/>
    </row>
    <row r="56" spans="1:6" ht="15.75" hidden="1" outlineLevel="1" thickBot="1" x14ac:dyDescent="0.3">
      <c r="A56" s="12" t="s">
        <v>134</v>
      </c>
      <c r="B56" s="12" t="s">
        <v>135</v>
      </c>
      <c r="D56" s="37"/>
      <c r="E56" s="102"/>
      <c r="F56" s="90"/>
    </row>
    <row r="57" spans="1:6" hidden="1" outlineLevel="1" x14ac:dyDescent="0.25">
      <c r="A57" s="14" t="s">
        <v>134</v>
      </c>
      <c r="B57" s="46" t="s">
        <v>136</v>
      </c>
      <c r="C57" s="16" t="s">
        <v>119</v>
      </c>
      <c r="D57" s="41">
        <v>10</v>
      </c>
      <c r="E57" s="98"/>
      <c r="F57" s="21"/>
    </row>
    <row r="58" spans="1:6" hidden="1" outlineLevel="1" x14ac:dyDescent="0.25">
      <c r="A58" s="18" t="s">
        <v>89</v>
      </c>
      <c r="B58" s="19" t="s">
        <v>137</v>
      </c>
      <c r="C58" s="20" t="s">
        <v>111</v>
      </c>
      <c r="D58" s="41">
        <f>+D8</f>
        <v>0.33</v>
      </c>
      <c r="E58" s="98"/>
      <c r="F58" s="21"/>
    </row>
    <row r="59" spans="1:6" hidden="1" outlineLevel="1" x14ac:dyDescent="0.25">
      <c r="A59" s="48" t="s">
        <v>37</v>
      </c>
      <c r="B59" s="28" t="s">
        <v>38</v>
      </c>
      <c r="C59" s="28" t="s">
        <v>112</v>
      </c>
      <c r="D59" s="32">
        <v>1</v>
      </c>
      <c r="E59" s="99">
        <v>6.0049999999999999</v>
      </c>
      <c r="F59" s="86"/>
    </row>
    <row r="60" spans="1:6" hidden="1" outlineLevel="1" x14ac:dyDescent="0.25">
      <c r="A60" s="49" t="s">
        <v>23</v>
      </c>
      <c r="B60" s="50" t="s">
        <v>24</v>
      </c>
      <c r="C60" s="50" t="s">
        <v>112</v>
      </c>
      <c r="D60" s="51">
        <v>25</v>
      </c>
      <c r="E60" s="99"/>
      <c r="F60" s="86"/>
    </row>
    <row r="61" spans="1:6" hidden="1" outlineLevel="1" x14ac:dyDescent="0.25">
      <c r="A61" s="31" t="s">
        <v>46</v>
      </c>
      <c r="B61" s="28" t="s">
        <v>47</v>
      </c>
      <c r="C61" s="28" t="s">
        <v>114</v>
      </c>
      <c r="D61" s="32">
        <f>17/100</f>
        <v>0.17</v>
      </c>
      <c r="E61" s="99">
        <v>2.7200000000000002E-2</v>
      </c>
      <c r="F61" s="86"/>
    </row>
    <row r="62" spans="1:6" hidden="1" outlineLevel="1" x14ac:dyDescent="0.25">
      <c r="A62" s="31" t="s">
        <v>64</v>
      </c>
      <c r="B62" s="28" t="s">
        <v>65</v>
      </c>
      <c r="C62" s="28" t="s">
        <v>114</v>
      </c>
      <c r="D62" s="32">
        <v>2.68</v>
      </c>
      <c r="E62" s="99">
        <v>0.28586666666666671</v>
      </c>
      <c r="F62" s="86"/>
    </row>
    <row r="63" spans="1:6" ht="15.75" hidden="1" outlineLevel="1" thickBot="1" x14ac:dyDescent="0.3">
      <c r="A63" s="33"/>
      <c r="B63" s="45" t="s">
        <v>125</v>
      </c>
      <c r="C63" s="35" t="s">
        <v>112</v>
      </c>
      <c r="D63" s="36">
        <v>1</v>
      </c>
      <c r="E63" s="99">
        <f>(0.086*D63)</f>
        <v>8.5999999999999993E-2</v>
      </c>
      <c r="F63" s="86"/>
    </row>
    <row r="64" spans="1:6" ht="15.75" hidden="1" outlineLevel="1" thickBot="1" x14ac:dyDescent="0.3"/>
    <row r="65" spans="1:6" ht="15.75" hidden="1" outlineLevel="1" thickBot="1" x14ac:dyDescent="0.3">
      <c r="D65" s="38" t="s">
        <v>138</v>
      </c>
      <c r="E65" s="96"/>
      <c r="F65" s="85"/>
    </row>
    <row r="66" spans="1:6" ht="15.75" hidden="1" outlineLevel="1" thickBot="1" x14ac:dyDescent="0.3">
      <c r="D66" s="4"/>
      <c r="E66" s="96"/>
      <c r="F66" s="85"/>
    </row>
    <row r="67" spans="1:6" ht="15.75" hidden="1" outlineLevel="1" thickBot="1" x14ac:dyDescent="0.3">
      <c r="A67" s="12" t="s">
        <v>139</v>
      </c>
      <c r="B67" s="12" t="s">
        <v>140</v>
      </c>
    </row>
    <row r="68" spans="1:6" hidden="1" outlineLevel="1" x14ac:dyDescent="0.25">
      <c r="A68" s="14" t="s">
        <v>139</v>
      </c>
      <c r="B68" s="46" t="s">
        <v>141</v>
      </c>
      <c r="C68" s="16" t="s">
        <v>119</v>
      </c>
      <c r="D68" s="41">
        <v>9.6</v>
      </c>
      <c r="E68" s="98"/>
      <c r="F68" s="21"/>
    </row>
    <row r="69" spans="1:6" hidden="1" outlineLevel="1" x14ac:dyDescent="0.25">
      <c r="A69" s="18" t="s">
        <v>89</v>
      </c>
      <c r="B69" s="19" t="s">
        <v>137</v>
      </c>
      <c r="C69" s="20" t="s">
        <v>111</v>
      </c>
      <c r="D69" s="41">
        <f>+D8</f>
        <v>0.33</v>
      </c>
      <c r="E69" s="98"/>
      <c r="F69" s="21"/>
    </row>
    <row r="70" spans="1:6" hidden="1" outlineLevel="1" x14ac:dyDescent="0.25">
      <c r="A70" s="52" t="s">
        <v>37</v>
      </c>
      <c r="B70" s="28" t="s">
        <v>38</v>
      </c>
      <c r="C70" s="28" t="s">
        <v>112</v>
      </c>
      <c r="D70" s="32">
        <v>1</v>
      </c>
      <c r="E70" s="99">
        <v>6.0049999999999999</v>
      </c>
      <c r="F70" s="86"/>
    </row>
    <row r="71" spans="1:6" hidden="1" outlineLevel="1" x14ac:dyDescent="0.25">
      <c r="A71" s="49" t="s">
        <v>25</v>
      </c>
      <c r="B71" s="50" t="s">
        <v>26</v>
      </c>
      <c r="C71" s="50" t="s">
        <v>112</v>
      </c>
      <c r="D71" s="51">
        <v>12</v>
      </c>
      <c r="E71" s="103"/>
      <c r="F71" s="91"/>
    </row>
    <row r="72" spans="1:6" hidden="1" outlineLevel="1" x14ac:dyDescent="0.25">
      <c r="A72" s="31" t="s">
        <v>46</v>
      </c>
      <c r="B72" s="28" t="s">
        <v>47</v>
      </c>
      <c r="C72" s="28" t="s">
        <v>114</v>
      </c>
      <c r="D72" s="32">
        <f>17/100</f>
        <v>0.17</v>
      </c>
      <c r="E72" s="99">
        <v>2.7200000000000002E-2</v>
      </c>
      <c r="F72" s="86"/>
    </row>
    <row r="73" spans="1:6" hidden="1" outlineLevel="1" x14ac:dyDescent="0.25">
      <c r="A73" s="31" t="s">
        <v>64</v>
      </c>
      <c r="B73" s="28" t="s">
        <v>65</v>
      </c>
      <c r="C73" s="28" t="s">
        <v>114</v>
      </c>
      <c r="D73" s="32">
        <v>2.68</v>
      </c>
      <c r="E73" s="99">
        <v>0.28586666666666671</v>
      </c>
      <c r="F73" s="86"/>
    </row>
    <row r="74" spans="1:6" ht="15.75" hidden="1" outlineLevel="1" thickBot="1" x14ac:dyDescent="0.3">
      <c r="A74" s="33"/>
      <c r="B74" s="45" t="s">
        <v>125</v>
      </c>
      <c r="C74" s="35" t="s">
        <v>112</v>
      </c>
      <c r="D74" s="36">
        <v>1</v>
      </c>
      <c r="E74" s="99">
        <f>(0.086*D74)</f>
        <v>8.5999999999999993E-2</v>
      </c>
      <c r="F74" s="86"/>
    </row>
    <row r="75" spans="1:6" ht="15.75" hidden="1" outlineLevel="1" thickBot="1" x14ac:dyDescent="0.3"/>
    <row r="76" spans="1:6" ht="15.75" hidden="1" outlineLevel="1" thickBot="1" x14ac:dyDescent="0.3">
      <c r="D76" s="38" t="s">
        <v>138</v>
      </c>
      <c r="E76" s="96"/>
      <c r="F76" s="85"/>
    </row>
    <row r="77" spans="1:6" ht="15.75" hidden="1" outlineLevel="1" thickBot="1" x14ac:dyDescent="0.3"/>
    <row r="78" spans="1:6" ht="15.75" hidden="1" outlineLevel="1" thickBot="1" x14ac:dyDescent="0.3">
      <c r="A78" s="12" t="s">
        <v>142</v>
      </c>
      <c r="B78" s="12" t="s">
        <v>143</v>
      </c>
    </row>
    <row r="79" spans="1:6" hidden="1" outlineLevel="1" x14ac:dyDescent="0.25">
      <c r="A79" s="14" t="s">
        <v>142</v>
      </c>
      <c r="B79" s="46" t="s">
        <v>144</v>
      </c>
      <c r="C79" s="16" t="s">
        <v>119</v>
      </c>
      <c r="D79" s="41">
        <v>10</v>
      </c>
      <c r="E79" s="98"/>
      <c r="F79" s="21"/>
    </row>
    <row r="80" spans="1:6" hidden="1" outlineLevel="1" x14ac:dyDescent="0.25">
      <c r="A80" s="18" t="s">
        <v>89</v>
      </c>
      <c r="B80" s="19" t="s">
        <v>137</v>
      </c>
      <c r="C80" s="20" t="s">
        <v>111</v>
      </c>
      <c r="D80" s="41">
        <f>+D8</f>
        <v>0.33</v>
      </c>
      <c r="E80" s="98"/>
      <c r="F80" s="21"/>
    </row>
    <row r="81" spans="1:10" hidden="1" outlineLevel="1" x14ac:dyDescent="0.25">
      <c r="A81" s="48" t="s">
        <v>37</v>
      </c>
      <c r="B81" s="28" t="s">
        <v>38</v>
      </c>
      <c r="C81" s="28" t="s">
        <v>112</v>
      </c>
      <c r="D81" s="32">
        <v>1</v>
      </c>
      <c r="E81" s="99">
        <v>6.0049999999999999</v>
      </c>
      <c r="F81" s="86"/>
    </row>
    <row r="82" spans="1:10" hidden="1" outlineLevel="1" x14ac:dyDescent="0.25">
      <c r="A82" s="48" t="s">
        <v>19</v>
      </c>
      <c r="B82" s="37" t="s">
        <v>20</v>
      </c>
      <c r="C82" s="28" t="s">
        <v>112</v>
      </c>
      <c r="D82" s="32">
        <v>20</v>
      </c>
      <c r="E82" s="99"/>
      <c r="F82" s="86"/>
    </row>
    <row r="83" spans="1:10" hidden="1" outlineLevel="1" x14ac:dyDescent="0.25">
      <c r="A83" s="31" t="s">
        <v>46</v>
      </c>
      <c r="B83" s="28" t="s">
        <v>47</v>
      </c>
      <c r="C83" s="28" t="s">
        <v>114</v>
      </c>
      <c r="D83" s="32">
        <f>17/100</f>
        <v>0.17</v>
      </c>
      <c r="E83" s="99">
        <v>2.7200000000000002E-2</v>
      </c>
      <c r="F83" s="86"/>
    </row>
    <row r="84" spans="1:10" hidden="1" outlineLevel="1" x14ac:dyDescent="0.25">
      <c r="A84" s="31" t="s">
        <v>64</v>
      </c>
      <c r="B84" s="28" t="s">
        <v>65</v>
      </c>
      <c r="C84" s="28" t="s">
        <v>114</v>
      </c>
      <c r="D84" s="32">
        <v>2.68</v>
      </c>
      <c r="E84" s="99">
        <v>0.28586666666666671</v>
      </c>
      <c r="F84" s="86"/>
    </row>
    <row r="85" spans="1:10" ht="15.75" hidden="1" outlineLevel="1" thickBot="1" x14ac:dyDescent="0.3">
      <c r="A85" s="33"/>
      <c r="B85" s="45" t="s">
        <v>125</v>
      </c>
      <c r="C85" s="35" t="s">
        <v>112</v>
      </c>
      <c r="D85" s="36">
        <v>1</v>
      </c>
      <c r="E85" s="99">
        <f>(0.086*D85)</f>
        <v>8.5999999999999993E-2</v>
      </c>
      <c r="F85" s="86"/>
    </row>
    <row r="86" spans="1:10" ht="15.75" hidden="1" outlineLevel="1" thickBot="1" x14ac:dyDescent="0.3">
      <c r="C86" s="25"/>
    </row>
    <row r="87" spans="1:10" ht="15.75" hidden="1" outlineLevel="1" thickBot="1" x14ac:dyDescent="0.3">
      <c r="C87" s="25"/>
      <c r="D87" s="38" t="s">
        <v>138</v>
      </c>
      <c r="E87" s="96"/>
      <c r="F87" s="85"/>
    </row>
    <row r="88" spans="1:10" hidden="1" outlineLevel="1" x14ac:dyDescent="0.25"/>
    <row r="89" spans="1:10" ht="15.75" collapsed="1" thickBot="1" x14ac:dyDescent="0.3">
      <c r="A89" s="10" t="s">
        <v>145</v>
      </c>
      <c r="B89" s="47"/>
      <c r="C89" s="5"/>
      <c r="D89" s="5"/>
      <c r="E89" s="101"/>
      <c r="F89" s="89"/>
    </row>
    <row r="90" spans="1:10" ht="15.75" thickBot="1" x14ac:dyDescent="0.3">
      <c r="A90" s="12"/>
      <c r="B90" s="12"/>
      <c r="D90" s="37"/>
      <c r="E90" s="102"/>
      <c r="F90" s="90"/>
    </row>
    <row r="91" spans="1:10" x14ac:dyDescent="0.25">
      <c r="A91" s="14" t="s">
        <v>127</v>
      </c>
      <c r="B91" s="15" t="s">
        <v>146</v>
      </c>
      <c r="C91" s="16" t="s">
        <v>119</v>
      </c>
      <c r="D91" s="41">
        <v>15</v>
      </c>
      <c r="E91" s="97"/>
      <c r="F91" s="21"/>
    </row>
    <row r="92" spans="1:10" x14ac:dyDescent="0.25">
      <c r="A92" s="18" t="s">
        <v>89</v>
      </c>
      <c r="B92" s="19" t="s">
        <v>147</v>
      </c>
      <c r="C92" s="20" t="s">
        <v>111</v>
      </c>
      <c r="D92" s="121">
        <f>+D8</f>
        <v>0.33</v>
      </c>
      <c r="E92" s="126">
        <f>VLOOKUP(A92,'custo unitário INSUMOS'!B:L,11,0)*D91</f>
        <v>321.33749999999998</v>
      </c>
      <c r="F92" s="21"/>
    </row>
    <row r="93" spans="1:10" x14ac:dyDescent="0.25">
      <c r="A93" s="48" t="s">
        <v>37</v>
      </c>
      <c r="B93" s="28" t="s">
        <v>38</v>
      </c>
      <c r="C93" s="28" t="s">
        <v>112</v>
      </c>
      <c r="D93" s="123">
        <v>1</v>
      </c>
      <c r="E93" s="127">
        <f>VLOOKUP(A93,'custo unitário INSUMOS'!B:L,11,0)*D93</f>
        <v>5.6265000000000001</v>
      </c>
      <c r="F93" s="86"/>
      <c r="J93" s="53"/>
    </row>
    <row r="94" spans="1:10" x14ac:dyDescent="0.25">
      <c r="A94" s="52" t="s">
        <v>35</v>
      </c>
      <c r="B94" s="28" t="s">
        <v>36</v>
      </c>
      <c r="C94" s="28" t="s">
        <v>112</v>
      </c>
      <c r="D94" s="140">
        <v>3</v>
      </c>
      <c r="E94" s="127">
        <f>VLOOKUP(A94,'custo unitário INSUMOS'!B:L,11,0)*D94</f>
        <v>0.26136000000000004</v>
      </c>
      <c r="F94" s="86"/>
    </row>
    <row r="95" spans="1:10" x14ac:dyDescent="0.25">
      <c r="A95" s="31" t="s">
        <v>46</v>
      </c>
      <c r="B95" s="28" t="s">
        <v>47</v>
      </c>
      <c r="C95" s="28" t="s">
        <v>114</v>
      </c>
      <c r="D95" s="123">
        <f>(17/100)*D97</f>
        <v>0.68</v>
      </c>
      <c r="E95" s="127">
        <f>VLOOKUP(A95,'custo unitário INSUMOS'!B:L,11,0)*D95</f>
        <v>1.9747200000000003E-2</v>
      </c>
      <c r="F95" s="86"/>
    </row>
    <row r="96" spans="1:10" x14ac:dyDescent="0.25">
      <c r="A96" s="31" t="s">
        <v>64</v>
      </c>
      <c r="B96" s="28" t="s">
        <v>65</v>
      </c>
      <c r="C96" s="28" t="s">
        <v>114</v>
      </c>
      <c r="D96" s="123">
        <v>2.68</v>
      </c>
      <c r="E96" s="127">
        <f>VLOOKUP(A96,'custo unitário INSUMOS'!B:L,11,0)*D96</f>
        <v>0.25942399999999999</v>
      </c>
      <c r="F96" s="86"/>
    </row>
    <row r="97" spans="1:8" ht="15.75" thickBot="1" x14ac:dyDescent="0.3">
      <c r="A97" s="111" t="s">
        <v>31</v>
      </c>
      <c r="B97" s="45" t="s">
        <v>125</v>
      </c>
      <c r="C97" s="35" t="s">
        <v>112</v>
      </c>
      <c r="D97" s="125">
        <v>4</v>
      </c>
      <c r="E97" s="127">
        <f>VLOOKUP(A97,'custo unitário INSUMOS'!B:L,11,0)*D97</f>
        <v>0.31217999999999996</v>
      </c>
      <c r="F97" s="86"/>
    </row>
    <row r="98" spans="1:8" ht="15.75" thickBot="1" x14ac:dyDescent="0.3">
      <c r="D98" s="37"/>
      <c r="E98" s="102"/>
      <c r="F98" s="90"/>
    </row>
    <row r="99" spans="1:8" ht="15.75" thickBot="1" x14ac:dyDescent="0.3">
      <c r="D99" s="136" t="s">
        <v>117</v>
      </c>
      <c r="E99" s="132">
        <f>SUM(E92:E97)</f>
        <v>327.81671120000004</v>
      </c>
      <c r="F99" s="112">
        <f>+E99/D91</f>
        <v>21.854447413333336</v>
      </c>
    </row>
    <row r="100" spans="1:8" ht="15.75" thickBot="1" x14ac:dyDescent="0.3">
      <c r="D100" s="4"/>
      <c r="E100" s="130" t="s">
        <v>119</v>
      </c>
      <c r="F100" s="131" t="s">
        <v>82</v>
      </c>
    </row>
    <row r="101" spans="1:8" ht="15.75" thickBot="1" x14ac:dyDescent="0.3">
      <c r="D101" s="4"/>
      <c r="E101" s="96"/>
      <c r="F101" s="85"/>
    </row>
    <row r="102" spans="1:8" x14ac:dyDescent="0.25">
      <c r="A102" s="14" t="s">
        <v>127</v>
      </c>
      <c r="B102" s="15" t="s">
        <v>148</v>
      </c>
      <c r="C102" s="16" t="s">
        <v>119</v>
      </c>
      <c r="D102" s="41">
        <v>15</v>
      </c>
      <c r="E102" s="97"/>
      <c r="F102" s="21"/>
      <c r="H102" s="53"/>
    </row>
    <row r="103" spans="1:8" x14ac:dyDescent="0.25">
      <c r="A103" s="18" t="s">
        <v>89</v>
      </c>
      <c r="B103" s="19" t="s">
        <v>147</v>
      </c>
      <c r="C103" s="20" t="s">
        <v>111</v>
      </c>
      <c r="D103" s="121">
        <f>+D92</f>
        <v>0.33</v>
      </c>
      <c r="E103" s="126">
        <f>VLOOKUP(A103,'custo unitário INSUMOS'!B:L,11,0)*D102</f>
        <v>321.33749999999998</v>
      </c>
      <c r="F103" s="21"/>
    </row>
    <row r="104" spans="1:8" x14ac:dyDescent="0.25">
      <c r="A104" s="48" t="s">
        <v>37</v>
      </c>
      <c r="B104" s="28" t="s">
        <v>38</v>
      </c>
      <c r="C104" s="28" t="s">
        <v>112</v>
      </c>
      <c r="D104" s="123">
        <v>1</v>
      </c>
      <c r="E104" s="127">
        <f>VLOOKUP(A104,'custo unitário INSUMOS'!B:L,11,0)*D104</f>
        <v>5.6265000000000001</v>
      </c>
      <c r="F104" s="86"/>
    </row>
    <row r="105" spans="1:8" x14ac:dyDescent="0.25">
      <c r="A105" s="52" t="s">
        <v>35</v>
      </c>
      <c r="B105" s="28" t="s">
        <v>36</v>
      </c>
      <c r="C105" s="28" t="s">
        <v>112</v>
      </c>
      <c r="D105" s="140">
        <v>3</v>
      </c>
      <c r="E105" s="127">
        <f>VLOOKUP(A105,'custo unitário INSUMOS'!B:L,11,0)*D105</f>
        <v>0.26136000000000004</v>
      </c>
      <c r="F105" s="86"/>
    </row>
    <row r="106" spans="1:8" x14ac:dyDescent="0.25">
      <c r="A106" s="31" t="s">
        <v>46</v>
      </c>
      <c r="B106" s="28" t="s">
        <v>47</v>
      </c>
      <c r="C106" s="28" t="s">
        <v>114</v>
      </c>
      <c r="D106" s="123">
        <f>(17/100)*D108</f>
        <v>0.68</v>
      </c>
      <c r="E106" s="127">
        <f>VLOOKUP(A106,'custo unitário INSUMOS'!B:L,11,0)*D106</f>
        <v>1.9747200000000003E-2</v>
      </c>
      <c r="F106" s="86"/>
    </row>
    <row r="107" spans="1:8" x14ac:dyDescent="0.25">
      <c r="A107" s="31" t="s">
        <v>64</v>
      </c>
      <c r="B107" s="28" t="s">
        <v>65</v>
      </c>
      <c r="C107" s="28" t="s">
        <v>114</v>
      </c>
      <c r="D107" s="123">
        <v>2.68</v>
      </c>
      <c r="E107" s="127">
        <f>VLOOKUP(A107,'custo unitário INSUMOS'!B:L,11,0)*D107</f>
        <v>0.25942399999999999</v>
      </c>
      <c r="F107" s="86"/>
    </row>
    <row r="108" spans="1:8" ht="15.75" thickBot="1" x14ac:dyDescent="0.3">
      <c r="A108" s="111" t="s">
        <v>31</v>
      </c>
      <c r="B108" s="45" t="s">
        <v>125</v>
      </c>
      <c r="C108" s="35" t="s">
        <v>112</v>
      </c>
      <c r="D108" s="125">
        <v>4</v>
      </c>
      <c r="E108" s="127">
        <f>VLOOKUP(A108,'custo unitário INSUMOS'!B:L,11,0)*D108</f>
        <v>0.31217999999999996</v>
      </c>
      <c r="F108" s="86"/>
    </row>
    <row r="109" spans="1:8" ht="15.75" thickBot="1" x14ac:dyDescent="0.3">
      <c r="D109" s="37"/>
      <c r="E109" s="102"/>
      <c r="F109" s="90"/>
    </row>
    <row r="110" spans="1:8" ht="15.75" thickBot="1" x14ac:dyDescent="0.3">
      <c r="D110" s="136" t="s">
        <v>117</v>
      </c>
      <c r="E110" s="132">
        <f>SUM(E103:E108)</f>
        <v>327.81671120000004</v>
      </c>
      <c r="F110" s="112">
        <f>+E110/D102</f>
        <v>21.854447413333336</v>
      </c>
    </row>
    <row r="111" spans="1:8" ht="15.75" thickBot="1" x14ac:dyDescent="0.3">
      <c r="D111" s="4"/>
      <c r="E111" s="130" t="s">
        <v>119</v>
      </c>
      <c r="F111" s="131" t="s">
        <v>82</v>
      </c>
    </row>
    <row r="112" spans="1:8" x14ac:dyDescent="0.25">
      <c r="D112" s="53"/>
      <c r="E112" s="102"/>
      <c r="F112" s="92"/>
    </row>
    <row r="113" spans="1:13" x14ac:dyDescent="0.25">
      <c r="A113" s="10" t="s">
        <v>149</v>
      </c>
      <c r="B113" s="54"/>
    </row>
    <row r="114" spans="1:13" ht="15.75" thickBot="1" x14ac:dyDescent="0.3">
      <c r="A114" s="44"/>
    </row>
    <row r="115" spans="1:13" x14ac:dyDescent="0.25">
      <c r="A115" s="55" t="s">
        <v>150</v>
      </c>
      <c r="B115" s="56" t="s">
        <v>151</v>
      </c>
      <c r="C115" s="16" t="s">
        <v>119</v>
      </c>
      <c r="D115" s="41">
        <v>15</v>
      </c>
      <c r="E115" s="97"/>
      <c r="F115" s="21"/>
    </row>
    <row r="116" spans="1:13" x14ac:dyDescent="0.25">
      <c r="A116" s="18" t="s">
        <v>89</v>
      </c>
      <c r="B116" s="19" t="s">
        <v>137</v>
      </c>
      <c r="C116" s="20" t="s">
        <v>111</v>
      </c>
      <c r="D116" s="121">
        <v>0.44</v>
      </c>
      <c r="E116" s="126">
        <f>VLOOKUP(A116,'custo unitário INSUMOS'!B:L,11,0)*D115</f>
        <v>321.33749999999998</v>
      </c>
      <c r="F116" s="21"/>
    </row>
    <row r="117" spans="1:13" x14ac:dyDescent="0.25">
      <c r="A117" s="48" t="s">
        <v>37</v>
      </c>
      <c r="B117" s="28" t="s">
        <v>38</v>
      </c>
      <c r="C117" s="28" t="s">
        <v>112</v>
      </c>
      <c r="D117" s="123">
        <v>1</v>
      </c>
      <c r="E117" s="127">
        <f>VLOOKUP(A117,'custo unitário INSUMOS'!B:L,11,0)*D117</f>
        <v>5.6265000000000001</v>
      </c>
      <c r="F117" s="86"/>
    </row>
    <row r="118" spans="1:13" x14ac:dyDescent="0.25">
      <c r="A118" s="52" t="s">
        <v>35</v>
      </c>
      <c r="B118" s="28" t="s">
        <v>36</v>
      </c>
      <c r="C118" s="28" t="s">
        <v>112</v>
      </c>
      <c r="D118" s="140">
        <v>3</v>
      </c>
      <c r="E118" s="127">
        <f>VLOOKUP(A118,'custo unitário INSUMOS'!B:L,11,0)*D118</f>
        <v>0.26136000000000004</v>
      </c>
      <c r="F118" s="86"/>
    </row>
    <row r="119" spans="1:13" x14ac:dyDescent="0.25">
      <c r="A119" s="31" t="s">
        <v>46</v>
      </c>
      <c r="B119" s="28" t="s">
        <v>47</v>
      </c>
      <c r="C119" s="28" t="s">
        <v>114</v>
      </c>
      <c r="D119" s="123">
        <f>(17/100)*D121</f>
        <v>0.68</v>
      </c>
      <c r="E119" s="127">
        <f>VLOOKUP(A119,'custo unitário INSUMOS'!B:L,11,0)*D119</f>
        <v>1.9747200000000003E-2</v>
      </c>
      <c r="F119" s="86"/>
    </row>
    <row r="120" spans="1:13" x14ac:dyDescent="0.25">
      <c r="A120" s="31" t="s">
        <v>64</v>
      </c>
      <c r="B120" s="28" t="s">
        <v>65</v>
      </c>
      <c r="C120" s="28" t="s">
        <v>114</v>
      </c>
      <c r="D120" s="123">
        <v>2.68</v>
      </c>
      <c r="E120" s="127">
        <f>VLOOKUP(A120,'custo unitário INSUMOS'!B:L,11,0)*D120</f>
        <v>0.25942399999999999</v>
      </c>
      <c r="F120" s="86"/>
    </row>
    <row r="121" spans="1:13" ht="15.75" thickBot="1" x14ac:dyDescent="0.3">
      <c r="A121" s="57" t="s">
        <v>33</v>
      </c>
      <c r="B121" s="58" t="s">
        <v>34</v>
      </c>
      <c r="C121" s="35" t="s">
        <v>112</v>
      </c>
      <c r="D121" s="125">
        <v>4</v>
      </c>
      <c r="E121" s="127">
        <f>VLOOKUP(A121,'custo unitário INSUMOS'!B:L,11,0)*D121</f>
        <v>0.31217999999999996</v>
      </c>
      <c r="F121" s="86"/>
    </row>
    <row r="122" spans="1:13" ht="15.75" thickBot="1" x14ac:dyDescent="0.3"/>
    <row r="123" spans="1:13" ht="15.75" thickBot="1" x14ac:dyDescent="0.3">
      <c r="D123" s="136" t="s">
        <v>117</v>
      </c>
      <c r="E123" s="132">
        <f>SUM(E116:E121)</f>
        <v>327.81671120000004</v>
      </c>
      <c r="F123" s="112">
        <f>+E123/D115</f>
        <v>21.854447413333336</v>
      </c>
    </row>
    <row r="124" spans="1:13" ht="15.75" thickBot="1" x14ac:dyDescent="0.3">
      <c r="D124" s="4"/>
      <c r="E124" s="130" t="s">
        <v>119</v>
      </c>
      <c r="F124" s="131" t="s">
        <v>82</v>
      </c>
    </row>
    <row r="125" spans="1:13" ht="15.75" thickBot="1" x14ac:dyDescent="0.3"/>
    <row r="126" spans="1:13" x14ac:dyDescent="0.25">
      <c r="A126" s="14"/>
      <c r="B126" s="46" t="s">
        <v>152</v>
      </c>
      <c r="C126" s="16" t="s">
        <v>119</v>
      </c>
      <c r="D126" s="63">
        <v>1</v>
      </c>
      <c r="E126" s="137">
        <v>0.05</v>
      </c>
      <c r="F126" s="21"/>
      <c r="H126" s="106"/>
    </row>
    <row r="127" spans="1:13" x14ac:dyDescent="0.25">
      <c r="A127" s="59" t="s">
        <v>93</v>
      </c>
      <c r="B127" s="59" t="s">
        <v>94</v>
      </c>
      <c r="C127" s="59" t="s">
        <v>153</v>
      </c>
      <c r="D127" s="141">
        <f>+'custo unitário INSUMOS'!E29</f>
        <v>0.66999999999999993</v>
      </c>
      <c r="E127" s="142">
        <f>VLOOKUP(A127,'custo unitário INSUMOS'!B:L,11,0)*(D126*D127)*E126</f>
        <v>0.35347125000000001</v>
      </c>
      <c r="F127" s="93"/>
      <c r="G127" s="138"/>
      <c r="H127" s="139"/>
      <c r="I127" s="138"/>
    </row>
    <row r="128" spans="1:13" x14ac:dyDescent="0.25">
      <c r="A128" s="31" t="s">
        <v>46</v>
      </c>
      <c r="B128" s="28" t="s">
        <v>47</v>
      </c>
      <c r="C128" s="28" t="s">
        <v>114</v>
      </c>
      <c r="D128" s="123">
        <f>(17/100)*D130</f>
        <v>0.17</v>
      </c>
      <c r="E128" s="127">
        <f>VLOOKUP(A128,'custo unitário INSUMOS'!B:L,11,0)*D128</f>
        <v>4.9368000000000007E-3</v>
      </c>
      <c r="F128" s="86"/>
      <c r="M128" s="120"/>
    </row>
    <row r="129" spans="1:13" x14ac:dyDescent="0.25">
      <c r="A129" s="57" t="s">
        <v>33</v>
      </c>
      <c r="B129" s="58" t="s">
        <v>34</v>
      </c>
      <c r="C129" s="28" t="s">
        <v>112</v>
      </c>
      <c r="D129" s="123">
        <v>1</v>
      </c>
      <c r="E129" s="127">
        <f>VLOOKUP(A129,'custo unitário INSUMOS'!B:L,11,0)*D129</f>
        <v>7.8044999999999989E-2</v>
      </c>
      <c r="F129" s="86"/>
      <c r="M129" s="120"/>
    </row>
    <row r="130" spans="1:13" ht="15.75" thickBot="1" x14ac:dyDescent="0.3">
      <c r="A130" s="31" t="s">
        <v>68</v>
      </c>
      <c r="B130" s="35" t="s">
        <v>69</v>
      </c>
      <c r="C130" s="35" t="s">
        <v>112</v>
      </c>
      <c r="D130" s="125">
        <v>1</v>
      </c>
      <c r="E130" s="127">
        <f>VLOOKUP(A130,'custo unitário INSUMOS'!B:L,11,0)*D130</f>
        <v>1.1189475</v>
      </c>
      <c r="F130" s="86"/>
      <c r="M130" s="120"/>
    </row>
    <row r="131" spans="1:13" ht="15.75" thickBot="1" x14ac:dyDescent="0.3">
      <c r="M131" s="120"/>
    </row>
    <row r="132" spans="1:13" ht="15.75" thickBot="1" x14ac:dyDescent="0.3">
      <c r="D132" s="136" t="s">
        <v>117</v>
      </c>
      <c r="E132" s="132">
        <f>SUM(E127:E130)</f>
        <v>1.5554005499999999</v>
      </c>
      <c r="F132" s="112">
        <f>+E132/D126</f>
        <v>1.5554005499999999</v>
      </c>
      <c r="M132" s="120"/>
    </row>
    <row r="133" spans="1:13" ht="15.75" thickBot="1" x14ac:dyDescent="0.3">
      <c r="E133" s="130" t="s">
        <v>119</v>
      </c>
      <c r="F133" s="131" t="s">
        <v>82</v>
      </c>
    </row>
    <row r="134" spans="1:13" ht="15.75" thickBot="1" x14ac:dyDescent="0.3">
      <c r="A134" s="44"/>
    </row>
    <row r="135" spans="1:13" x14ac:dyDescent="0.25">
      <c r="A135" s="14"/>
      <c r="B135" s="46" t="s">
        <v>154</v>
      </c>
      <c r="C135" s="16" t="s">
        <v>119</v>
      </c>
      <c r="D135" s="63">
        <v>20</v>
      </c>
      <c r="E135" s="137">
        <v>0.03</v>
      </c>
      <c r="F135" s="21"/>
    </row>
    <row r="136" spans="1:13" x14ac:dyDescent="0.25">
      <c r="A136" s="59" t="s">
        <v>93</v>
      </c>
      <c r="B136" s="59" t="s">
        <v>94</v>
      </c>
      <c r="C136" s="59" t="s">
        <v>153</v>
      </c>
      <c r="D136" s="141">
        <f>+'custo unitário INSUMOS'!E29</f>
        <v>0.66999999999999993</v>
      </c>
      <c r="E136" s="142">
        <f>VLOOKUP(A136,'custo unitário INSUMOS'!B:L,11,0)*(D135*D136)*E135</f>
        <v>4.2416549999999997</v>
      </c>
      <c r="F136" s="93"/>
    </row>
    <row r="137" spans="1:13" x14ac:dyDescent="0.25">
      <c r="A137" s="31" t="s">
        <v>46</v>
      </c>
      <c r="B137" s="28" t="s">
        <v>47</v>
      </c>
      <c r="C137" s="28" t="s">
        <v>114</v>
      </c>
      <c r="D137" s="123">
        <f>(17/100)*D139</f>
        <v>0.17</v>
      </c>
      <c r="E137" s="127">
        <f>VLOOKUP(A137,'custo unitário INSUMOS'!B:L,11,0)</f>
        <v>2.904E-2</v>
      </c>
      <c r="F137" s="86"/>
    </row>
    <row r="138" spans="1:13" x14ac:dyDescent="0.25">
      <c r="A138" s="57" t="s">
        <v>33</v>
      </c>
      <c r="B138" s="58" t="s">
        <v>34</v>
      </c>
      <c r="C138" s="28" t="s">
        <v>112</v>
      </c>
      <c r="D138" s="123">
        <v>1</v>
      </c>
      <c r="E138" s="127">
        <f>VLOOKUP(A138,'custo unitário INSUMOS'!B:L,11,0)</f>
        <v>7.8044999999999989E-2</v>
      </c>
      <c r="F138" s="86"/>
    </row>
    <row r="139" spans="1:13" ht="15.75" thickBot="1" x14ac:dyDescent="0.3">
      <c r="A139" s="31" t="s">
        <v>68</v>
      </c>
      <c r="B139" s="35" t="s">
        <v>69</v>
      </c>
      <c r="C139" s="35" t="s">
        <v>112</v>
      </c>
      <c r="D139" s="125">
        <v>1</v>
      </c>
      <c r="E139" s="127">
        <f>VLOOKUP(A139,'custo unitário INSUMOS'!B:L,11,0)</f>
        <v>1.1189475</v>
      </c>
      <c r="F139" s="86"/>
    </row>
    <row r="140" spans="1:13" ht="15.75" thickBot="1" x14ac:dyDescent="0.3"/>
    <row r="141" spans="1:13" ht="15.75" thickBot="1" x14ac:dyDescent="0.3">
      <c r="D141" s="136" t="s">
        <v>117</v>
      </c>
      <c r="E141" s="132">
        <f>SUM(E136:E139)</f>
        <v>5.4676875000000003</v>
      </c>
      <c r="F141" s="112">
        <f>+E141/D135</f>
        <v>0.27338437500000001</v>
      </c>
    </row>
    <row r="142" spans="1:13" ht="15.75" thickBot="1" x14ac:dyDescent="0.3">
      <c r="E142" s="130" t="s">
        <v>119</v>
      </c>
      <c r="F142" s="131" t="s">
        <v>82</v>
      </c>
    </row>
    <row r="143" spans="1:13" ht="15.75" thickBot="1" x14ac:dyDescent="0.3">
      <c r="A143" s="44"/>
    </row>
    <row r="144" spans="1:13" x14ac:dyDescent="0.25">
      <c r="A144" s="14"/>
      <c r="B144" s="46" t="s">
        <v>155</v>
      </c>
      <c r="C144" s="16" t="s">
        <v>119</v>
      </c>
      <c r="D144" s="63">
        <v>20</v>
      </c>
      <c r="E144" s="137">
        <v>0.03</v>
      </c>
      <c r="F144" s="21"/>
    </row>
    <row r="145" spans="1:6" x14ac:dyDescent="0.25">
      <c r="A145" s="59" t="s">
        <v>93</v>
      </c>
      <c r="B145" s="59" t="s">
        <v>94</v>
      </c>
      <c r="C145" s="59" t="s">
        <v>153</v>
      </c>
      <c r="D145" s="165">
        <f>+'custo unitário INSUMOS'!E29</f>
        <v>0.66999999999999993</v>
      </c>
      <c r="E145" s="142">
        <f>VLOOKUP(A145,'custo unitário INSUMOS'!B:L,11,0)*(D144*D145)*E144</f>
        <v>4.2416549999999997</v>
      </c>
      <c r="F145" s="93"/>
    </row>
    <row r="146" spans="1:6" x14ac:dyDescent="0.25">
      <c r="A146" s="31" t="s">
        <v>46</v>
      </c>
      <c r="B146" s="28" t="s">
        <v>47</v>
      </c>
      <c r="C146" s="28" t="s">
        <v>114</v>
      </c>
      <c r="D146" s="123">
        <f>(17/100)*D148</f>
        <v>0.17</v>
      </c>
      <c r="E146" s="127">
        <f>VLOOKUP(A146,'custo unitário INSUMOS'!B:L,11,0)</f>
        <v>2.904E-2</v>
      </c>
      <c r="F146" s="86"/>
    </row>
    <row r="147" spans="1:6" x14ac:dyDescent="0.25">
      <c r="A147" s="57" t="s">
        <v>33</v>
      </c>
      <c r="B147" s="58" t="s">
        <v>34</v>
      </c>
      <c r="C147" s="28" t="s">
        <v>112</v>
      </c>
      <c r="D147" s="123">
        <v>1</v>
      </c>
      <c r="E147" s="127">
        <f>VLOOKUP(A147,'custo unitário INSUMOS'!B:L,11,0)</f>
        <v>7.8044999999999989E-2</v>
      </c>
      <c r="F147" s="86"/>
    </row>
    <row r="148" spans="1:6" ht="15.75" thickBot="1" x14ac:dyDescent="0.3">
      <c r="A148" s="31" t="s">
        <v>68</v>
      </c>
      <c r="B148" s="35" t="s">
        <v>69</v>
      </c>
      <c r="C148" s="35" t="s">
        <v>112</v>
      </c>
      <c r="D148" s="125">
        <v>1</v>
      </c>
      <c r="E148" s="127">
        <f>VLOOKUP(A148,'custo unitário INSUMOS'!B:L,11,0)</f>
        <v>1.1189475</v>
      </c>
      <c r="F148" s="86"/>
    </row>
    <row r="149" spans="1:6" ht="15.75" thickBot="1" x14ac:dyDescent="0.3"/>
    <row r="150" spans="1:6" ht="15.75" thickBot="1" x14ac:dyDescent="0.3">
      <c r="D150" s="136" t="s">
        <v>117</v>
      </c>
      <c r="E150" s="132">
        <f>SUM(E145:E148)</f>
        <v>5.4676875000000003</v>
      </c>
      <c r="F150" s="112">
        <f>+E150/D144</f>
        <v>0.27338437500000001</v>
      </c>
    </row>
    <row r="151" spans="1:6" ht="15.75" thickBot="1" x14ac:dyDescent="0.3">
      <c r="E151" s="130" t="s">
        <v>119</v>
      </c>
      <c r="F151" s="131" t="s">
        <v>82</v>
      </c>
    </row>
    <row r="152" spans="1:6" ht="15.75" thickBot="1" x14ac:dyDescent="0.3"/>
    <row r="153" spans="1:6" x14ac:dyDescent="0.25">
      <c r="A153" s="14"/>
      <c r="B153" s="46" t="s">
        <v>156</v>
      </c>
      <c r="C153" s="16" t="s">
        <v>157</v>
      </c>
      <c r="D153" s="63">
        <v>1</v>
      </c>
      <c r="E153" s="137">
        <v>6.5000000000000002E-2</v>
      </c>
      <c r="F153" s="21"/>
    </row>
    <row r="154" spans="1:6" x14ac:dyDescent="0.25">
      <c r="A154" s="59" t="s">
        <v>93</v>
      </c>
      <c r="B154" s="59" t="s">
        <v>94</v>
      </c>
      <c r="C154" s="59" t="s">
        <v>153</v>
      </c>
      <c r="D154" s="63">
        <v>1</v>
      </c>
      <c r="E154" s="142">
        <f>VLOOKUP(A154,'custo unitário INSUMOS'!B:L,11,0)*(D153*D154)*E153</f>
        <v>0.68583973880597027</v>
      </c>
      <c r="F154" s="86"/>
    </row>
    <row r="155" spans="1:6" ht="15.75" thickBot="1" x14ac:dyDescent="0.3"/>
    <row r="156" spans="1:6" ht="15.75" thickBot="1" x14ac:dyDescent="0.3">
      <c r="D156" s="136" t="s">
        <v>117</v>
      </c>
      <c r="E156" s="132">
        <f>SUM(E154)</f>
        <v>0.68583973880597027</v>
      </c>
      <c r="F156" s="112">
        <f>+E156/D153</f>
        <v>0.68583973880597027</v>
      </c>
    </row>
    <row r="157" spans="1:6" ht="15.75" thickBot="1" x14ac:dyDescent="0.3">
      <c r="E157" s="130" t="s">
        <v>119</v>
      </c>
      <c r="F157" s="131" t="s">
        <v>82</v>
      </c>
    </row>
    <row r="158" spans="1:6" ht="15.75" thickBot="1" x14ac:dyDescent="0.3"/>
    <row r="159" spans="1:6" x14ac:dyDescent="0.25">
      <c r="A159" s="14" t="s">
        <v>158</v>
      </c>
      <c r="B159" s="46" t="s">
        <v>159</v>
      </c>
      <c r="C159" s="16" t="s">
        <v>119</v>
      </c>
      <c r="D159" s="110">
        <v>1</v>
      </c>
      <c r="E159" s="143">
        <v>0.95</v>
      </c>
      <c r="F159" s="21"/>
    </row>
    <row r="160" spans="1:6" x14ac:dyDescent="0.25">
      <c r="A160" s="107" t="s">
        <v>86</v>
      </c>
      <c r="B160" s="108" t="s">
        <v>137</v>
      </c>
      <c r="C160" s="109" t="s">
        <v>111</v>
      </c>
      <c r="D160" s="163"/>
      <c r="E160" s="164">
        <f>(D159*E159)*(VLOOKUP(A160,'custo unitário INSUMOS'!B:L,11,0))</f>
        <v>6.7159537499999997</v>
      </c>
      <c r="F160" s="21"/>
    </row>
    <row r="161" spans="1:6" x14ac:dyDescent="0.25">
      <c r="A161" s="57" t="s">
        <v>33</v>
      </c>
      <c r="B161" s="58" t="s">
        <v>34</v>
      </c>
      <c r="C161" s="28" t="s">
        <v>112</v>
      </c>
      <c r="D161" s="123">
        <v>1</v>
      </c>
      <c r="E161" s="127">
        <f>VLOOKUP(A161,'custo unitário INSUMOS'!B:L,11,0)</f>
        <v>7.8044999999999989E-2</v>
      </c>
      <c r="F161" s="86"/>
    </row>
    <row r="162" spans="1:6" x14ac:dyDescent="0.25">
      <c r="A162" s="31" t="s">
        <v>46</v>
      </c>
      <c r="B162" s="28" t="s">
        <v>47</v>
      </c>
      <c r="C162" s="28" t="s">
        <v>114</v>
      </c>
      <c r="D162" s="123">
        <v>0.17</v>
      </c>
      <c r="E162" s="127">
        <f>VLOOKUP(A162,'custo unitário INSUMOS'!B:L,11,0)</f>
        <v>2.904E-2</v>
      </c>
      <c r="F162" s="86"/>
    </row>
    <row r="163" spans="1:6" ht="15.75" thickBot="1" x14ac:dyDescent="0.3"/>
    <row r="164" spans="1:6" ht="15.75" thickBot="1" x14ac:dyDescent="0.3">
      <c r="B164" s="39"/>
      <c r="C164" s="39"/>
      <c r="D164" s="136" t="s">
        <v>117</v>
      </c>
      <c r="E164" s="132">
        <f>SUM(E160:E162)</f>
        <v>6.8230387500000003</v>
      </c>
      <c r="F164" s="112">
        <f>+E164/D159</f>
        <v>6.8230387500000003</v>
      </c>
    </row>
    <row r="165" spans="1:6" ht="15.75" thickBot="1" x14ac:dyDescent="0.3">
      <c r="E165" s="130" t="s">
        <v>119</v>
      </c>
      <c r="F165" s="131" t="s">
        <v>82</v>
      </c>
    </row>
    <row r="166" spans="1:6" ht="15.75" thickBot="1" x14ac:dyDescent="0.3">
      <c r="A166" s="60" t="s">
        <v>160</v>
      </c>
      <c r="B166" s="61"/>
    </row>
    <row r="167" spans="1:6" ht="15.75" thickBot="1" x14ac:dyDescent="0.3">
      <c r="A167" s="12" t="s">
        <v>161</v>
      </c>
      <c r="B167" s="12" t="s">
        <v>162</v>
      </c>
      <c r="D167" s="62" t="s">
        <v>163</v>
      </c>
      <c r="E167" s="104"/>
      <c r="F167" s="94"/>
    </row>
    <row r="168" spans="1:6" x14ac:dyDescent="0.25">
      <c r="A168" s="14" t="s">
        <v>161</v>
      </c>
      <c r="B168" s="46" t="s">
        <v>164</v>
      </c>
      <c r="C168" s="16" t="s">
        <v>119</v>
      </c>
      <c r="D168" s="63">
        <v>25</v>
      </c>
      <c r="E168" s="105">
        <v>0.25</v>
      </c>
      <c r="F168" s="21"/>
    </row>
    <row r="169" spans="1:6" x14ac:dyDescent="0.25">
      <c r="A169" s="59" t="s">
        <v>93</v>
      </c>
      <c r="B169" s="59" t="s">
        <v>94</v>
      </c>
      <c r="C169" s="59" t="s">
        <v>153</v>
      </c>
      <c r="D169" s="165">
        <f>+'custo unitário INSUMOS'!E29</f>
        <v>0.66999999999999993</v>
      </c>
      <c r="E169" s="142">
        <f>VLOOKUP(A169,'custo unitário INSUMOS'!B:L,11,0)*(D168*D169)*E168</f>
        <v>44.183906250000007</v>
      </c>
      <c r="F169" s="93"/>
    </row>
    <row r="170" spans="1:6" ht="15.75" thickBot="1" x14ac:dyDescent="0.3">
      <c r="A170" s="64" t="s">
        <v>71</v>
      </c>
      <c r="B170" s="35" t="s">
        <v>72</v>
      </c>
      <c r="C170" s="35" t="s">
        <v>112</v>
      </c>
      <c r="D170" s="125">
        <v>1</v>
      </c>
      <c r="E170" s="127">
        <f>VLOOKUP(A170,'custo unitário INSUMOS'!B:L,11,0)</f>
        <v>1.3158749999999999</v>
      </c>
    </row>
    <row r="171" spans="1:6" ht="15.75" thickBot="1" x14ac:dyDescent="0.3"/>
    <row r="172" spans="1:6" ht="15.75" thickBot="1" x14ac:dyDescent="0.3">
      <c r="D172" s="136" t="s">
        <v>117</v>
      </c>
      <c r="E172" s="132">
        <f>SUM(E169:E170)</f>
        <v>45.499781250000005</v>
      </c>
      <c r="F172" s="112">
        <f>+E172/D168</f>
        <v>1.8199912500000002</v>
      </c>
    </row>
    <row r="173" spans="1:6" ht="15.75" thickBot="1" x14ac:dyDescent="0.3">
      <c r="E173" s="130" t="s">
        <v>119</v>
      </c>
      <c r="F173" s="131" t="s">
        <v>82</v>
      </c>
    </row>
    <row r="174" spans="1:6" ht="15.75" thickBot="1" x14ac:dyDescent="0.3">
      <c r="E174" s="144"/>
      <c r="F174" s="85"/>
    </row>
    <row r="175" spans="1:6" ht="15.75" thickBot="1" x14ac:dyDescent="0.3">
      <c r="A175" s="12" t="s">
        <v>165</v>
      </c>
      <c r="B175" s="12" t="s">
        <v>166</v>
      </c>
      <c r="D175" s="62" t="s">
        <v>163</v>
      </c>
      <c r="E175" s="104"/>
      <c r="F175" s="94"/>
    </row>
    <row r="176" spans="1:6" x14ac:dyDescent="0.25">
      <c r="A176" s="14" t="s">
        <v>165</v>
      </c>
      <c r="B176" s="46" t="s">
        <v>167</v>
      </c>
      <c r="C176" s="16" t="s">
        <v>119</v>
      </c>
      <c r="D176" s="63">
        <v>1</v>
      </c>
      <c r="E176" s="105">
        <v>0.15</v>
      </c>
      <c r="F176" s="21"/>
    </row>
    <row r="177" spans="1:6" x14ac:dyDescent="0.25">
      <c r="A177" s="59" t="s">
        <v>93</v>
      </c>
      <c r="B177" s="59" t="s">
        <v>94</v>
      </c>
      <c r="C177" s="59" t="s">
        <v>153</v>
      </c>
      <c r="D177" s="165">
        <f>+'custo unitário INSUMOS'!E29</f>
        <v>0.66999999999999993</v>
      </c>
      <c r="E177" s="142">
        <f>VLOOKUP(A177,'custo unitário INSUMOS'!B:L,11,0)*(D176*D177)*E176</f>
        <v>1.0604137499999999</v>
      </c>
      <c r="F177" s="93"/>
    </row>
    <row r="178" spans="1:6" ht="15.75" thickBot="1" x14ac:dyDescent="0.3"/>
    <row r="179" spans="1:6" ht="15.75" thickBot="1" x14ac:dyDescent="0.3">
      <c r="D179" s="136" t="s">
        <v>117</v>
      </c>
      <c r="E179" s="132">
        <f>SUM(E177)</f>
        <v>1.0604137499999999</v>
      </c>
      <c r="F179" s="112">
        <f>+E179/D176</f>
        <v>1.0604137499999999</v>
      </c>
    </row>
    <row r="180" spans="1:6" ht="15.75" thickBot="1" x14ac:dyDescent="0.3">
      <c r="E180" s="130" t="s">
        <v>119</v>
      </c>
      <c r="F180" s="131" t="s">
        <v>82</v>
      </c>
    </row>
    <row r="182" spans="1:6" ht="15.75" thickBot="1" x14ac:dyDescent="0.3"/>
    <row r="183" spans="1:6" ht="15.75" thickBot="1" x14ac:dyDescent="0.3">
      <c r="A183" s="161" t="s">
        <v>76</v>
      </c>
      <c r="B183" s="162" t="s">
        <v>168</v>
      </c>
      <c r="C183" s="158" t="s">
        <v>169</v>
      </c>
      <c r="D183" s="58" t="s">
        <v>78</v>
      </c>
      <c r="E183" s="77"/>
      <c r="F183" s="90"/>
    </row>
    <row r="184" spans="1:6" x14ac:dyDescent="0.25">
      <c r="A184" s="159" t="s">
        <v>80</v>
      </c>
      <c r="B184" s="160" t="s">
        <v>81</v>
      </c>
      <c r="C184" s="68" t="s">
        <v>170</v>
      </c>
      <c r="D184" s="145">
        <v>8.8000000000000003E-4</v>
      </c>
      <c r="E184" s="127">
        <f>VLOOKUP(A184,'custo unitário INSUMOS'!B:L,11,0)</f>
        <v>1.1816375999999998E-2</v>
      </c>
      <c r="F184" s="95"/>
    </row>
    <row r="185" spans="1:6" ht="15.75" thickBot="1" x14ac:dyDescent="0.3">
      <c r="A185" s="69" t="s">
        <v>84</v>
      </c>
      <c r="B185" s="70" t="s">
        <v>85</v>
      </c>
      <c r="C185" s="71" t="s">
        <v>112</v>
      </c>
      <c r="D185" s="146">
        <v>1</v>
      </c>
      <c r="E185" s="127">
        <f>VLOOKUP(A185,'custo unitário INSUMOS'!B:L,11,0)</f>
        <v>0.49024965000000004</v>
      </c>
      <c r="F185" s="95"/>
    </row>
    <row r="186" spans="1:6" ht="15.75" thickBot="1" x14ac:dyDescent="0.3"/>
    <row r="187" spans="1:6" ht="15.75" thickBot="1" x14ac:dyDescent="0.3">
      <c r="D187" s="65" t="s">
        <v>171</v>
      </c>
      <c r="E187" s="147">
        <f>+E185+E184</f>
        <v>0.50206602600000005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8D65-CF63-42FE-9479-4F75DCC170AB}">
  <sheetPr>
    <tabColor theme="7" tint="0.39997558519241921"/>
  </sheetPr>
  <dimension ref="A1:R123"/>
  <sheetViews>
    <sheetView showGridLines="0" topLeftCell="C1" zoomScale="85" zoomScaleNormal="85" workbookViewId="0">
      <selection activeCell="E110" sqref="E110"/>
    </sheetView>
  </sheetViews>
  <sheetFormatPr defaultColWidth="9.140625" defaultRowHeight="15" x14ac:dyDescent="0.25"/>
  <cols>
    <col min="1" max="1" width="23" style="174" bestFit="1" customWidth="1"/>
    <col min="2" max="2" width="17.28515625" style="174" bestFit="1" customWidth="1"/>
    <col min="3" max="3" width="69.28515625" style="174" bestFit="1" customWidth="1"/>
    <col min="4" max="11" width="17.140625" style="174" bestFit="1" customWidth="1"/>
    <col min="12" max="15" width="8.140625" style="174" bestFit="1" customWidth="1"/>
    <col min="16" max="16" width="18.7109375" style="174" bestFit="1" customWidth="1"/>
    <col min="17" max="17" width="21.140625" style="174" customWidth="1"/>
    <col min="18" max="246" width="10.7109375" style="174" bestFit="1" customWidth="1"/>
    <col min="247" max="16384" width="9.140625" style="174"/>
  </cols>
  <sheetData>
    <row r="1" spans="1:16" s="173" customFormat="1" x14ac:dyDescent="0.25">
      <c r="C1" s="170" t="s">
        <v>172</v>
      </c>
      <c r="D1" s="218">
        <v>45292</v>
      </c>
      <c r="E1" s="218">
        <v>45323</v>
      </c>
      <c r="F1" s="218">
        <v>45352</v>
      </c>
      <c r="G1" s="218">
        <v>45383</v>
      </c>
      <c r="H1" s="218">
        <v>45413</v>
      </c>
      <c r="I1" s="218">
        <v>45444</v>
      </c>
      <c r="J1" s="218">
        <v>45474</v>
      </c>
      <c r="K1" s="218">
        <v>45505</v>
      </c>
      <c r="L1" s="218">
        <v>45536</v>
      </c>
      <c r="M1" s="218">
        <v>45566</v>
      </c>
      <c r="N1" s="218">
        <v>45597</v>
      </c>
      <c r="O1" s="218">
        <v>45627</v>
      </c>
      <c r="P1" s="171" t="s">
        <v>173</v>
      </c>
    </row>
    <row r="2" spans="1:16" x14ac:dyDescent="0.25">
      <c r="A2" s="173"/>
      <c r="C2" s="169" t="s">
        <v>174</v>
      </c>
      <c r="D2" s="172"/>
      <c r="E2" s="172"/>
      <c r="F2" s="172"/>
      <c r="G2" s="172"/>
      <c r="H2" s="172"/>
      <c r="I2" s="172">
        <v>8880</v>
      </c>
      <c r="J2" s="172">
        <v>10000</v>
      </c>
      <c r="K2" s="172">
        <v>33505.599999999999</v>
      </c>
      <c r="L2" s="172"/>
      <c r="M2" s="172"/>
      <c r="N2" s="172"/>
      <c r="O2" s="172"/>
      <c r="P2" s="172">
        <f>SUM(D2:O2)</f>
        <v>52385.599999999999</v>
      </c>
    </row>
    <row r="3" spans="1:16" x14ac:dyDescent="0.25">
      <c r="A3" s="173"/>
      <c r="C3" s="168" t="s">
        <v>175</v>
      </c>
      <c r="D3" s="116"/>
      <c r="E3" s="116"/>
      <c r="F3" s="116"/>
      <c r="G3" s="116"/>
      <c r="H3" s="116"/>
      <c r="I3" s="116">
        <v>8880</v>
      </c>
      <c r="J3" s="116">
        <v>10000</v>
      </c>
      <c r="K3" s="116">
        <v>33505.599999999999</v>
      </c>
      <c r="L3" s="116"/>
      <c r="M3" s="116"/>
      <c r="N3" s="116"/>
      <c r="O3" s="116"/>
      <c r="P3" s="116">
        <f t="shared" ref="P3:P63" si="0">SUM(D3:O3)</f>
        <v>52385.599999999999</v>
      </c>
    </row>
    <row r="4" spans="1:16" x14ac:dyDescent="0.25">
      <c r="A4" s="173"/>
      <c r="C4" s="169" t="s">
        <v>176</v>
      </c>
      <c r="D4" s="172">
        <v>28.680000000000003</v>
      </c>
      <c r="E4" s="172">
        <v>17.099999999999998</v>
      </c>
      <c r="F4" s="172">
        <v>30.209000000000003</v>
      </c>
      <c r="G4" s="172">
        <v>14.395</v>
      </c>
      <c r="H4" s="172">
        <v>338.39499999999998</v>
      </c>
      <c r="I4" s="172">
        <v>234.43700000000001</v>
      </c>
      <c r="J4" s="172">
        <v>288.59100000000001</v>
      </c>
      <c r="K4" s="172">
        <v>763.4670000000001</v>
      </c>
      <c r="L4" s="172"/>
      <c r="M4" s="172"/>
      <c r="N4" s="172"/>
      <c r="O4" s="172"/>
      <c r="P4" s="172">
        <f t="shared" si="0"/>
        <v>1715.2740000000001</v>
      </c>
    </row>
    <row r="5" spans="1:16" x14ac:dyDescent="0.25">
      <c r="A5" s="173"/>
      <c r="C5" s="168" t="s">
        <v>177</v>
      </c>
      <c r="D5" s="116"/>
      <c r="E5" s="116"/>
      <c r="F5" s="116"/>
      <c r="G5" s="116"/>
      <c r="H5" s="116">
        <v>330</v>
      </c>
      <c r="I5" s="116">
        <v>220</v>
      </c>
      <c r="J5" s="116">
        <v>270</v>
      </c>
      <c r="K5" s="116">
        <v>329.3</v>
      </c>
      <c r="L5" s="116"/>
      <c r="M5" s="116"/>
      <c r="N5" s="116"/>
      <c r="O5" s="116"/>
      <c r="P5" s="116">
        <f t="shared" si="0"/>
        <v>1149.3</v>
      </c>
    </row>
    <row r="6" spans="1:16" x14ac:dyDescent="0.25">
      <c r="A6" s="173"/>
      <c r="C6" s="168" t="s">
        <v>178</v>
      </c>
      <c r="D6" s="116">
        <v>28.680000000000003</v>
      </c>
      <c r="E6" s="116">
        <v>17.099999999999998</v>
      </c>
      <c r="F6" s="116">
        <v>30.209000000000003</v>
      </c>
      <c r="G6" s="116">
        <v>14.395</v>
      </c>
      <c r="H6" s="116">
        <v>8.3949999999999996</v>
      </c>
      <c r="I6" s="116">
        <v>14.437000000000001</v>
      </c>
      <c r="J6" s="116">
        <v>10.97</v>
      </c>
      <c r="K6" s="116">
        <v>16.3</v>
      </c>
      <c r="L6" s="116"/>
      <c r="M6" s="116"/>
      <c r="N6" s="116"/>
      <c r="O6" s="116"/>
      <c r="P6" s="116">
        <f t="shared" si="0"/>
        <v>140.48599999999999</v>
      </c>
    </row>
    <row r="7" spans="1:16" x14ac:dyDescent="0.25">
      <c r="A7" s="173"/>
      <c r="C7" s="168" t="s">
        <v>179</v>
      </c>
      <c r="D7" s="116">
        <v>0</v>
      </c>
      <c r="E7" s="116">
        <v>0</v>
      </c>
      <c r="F7" s="116">
        <v>0</v>
      </c>
      <c r="G7" s="116">
        <v>0</v>
      </c>
      <c r="H7" s="116">
        <v>0</v>
      </c>
      <c r="I7" s="116">
        <v>0</v>
      </c>
      <c r="J7" s="116">
        <v>7.6210000000000004</v>
      </c>
      <c r="K7" s="116"/>
      <c r="L7" s="116"/>
      <c r="M7" s="116"/>
      <c r="N7" s="116"/>
      <c r="O7" s="116"/>
      <c r="P7" s="116">
        <f t="shared" si="0"/>
        <v>7.6210000000000004</v>
      </c>
    </row>
    <row r="8" spans="1:16" x14ac:dyDescent="0.25">
      <c r="A8" s="173"/>
      <c r="C8" s="168" t="s">
        <v>180</v>
      </c>
      <c r="D8" s="116">
        <v>0</v>
      </c>
      <c r="E8" s="116">
        <v>0</v>
      </c>
      <c r="F8" s="116">
        <v>0</v>
      </c>
      <c r="G8" s="116">
        <v>0</v>
      </c>
      <c r="H8" s="116">
        <v>0</v>
      </c>
      <c r="I8" s="116">
        <v>0</v>
      </c>
      <c r="J8" s="116">
        <v>0</v>
      </c>
      <c r="K8" s="116">
        <v>105</v>
      </c>
      <c r="L8" s="116"/>
      <c r="M8" s="116"/>
      <c r="N8" s="116"/>
      <c r="O8" s="116"/>
      <c r="P8" s="116"/>
    </row>
    <row r="9" spans="1:16" x14ac:dyDescent="0.25">
      <c r="A9" s="173"/>
      <c r="C9" s="168" t="s">
        <v>181</v>
      </c>
      <c r="D9" s="116">
        <v>0</v>
      </c>
      <c r="E9" s="116">
        <v>0</v>
      </c>
      <c r="F9" s="116">
        <v>0</v>
      </c>
      <c r="G9" s="116">
        <v>0</v>
      </c>
      <c r="H9" s="116">
        <v>0</v>
      </c>
      <c r="I9" s="116">
        <v>0</v>
      </c>
      <c r="J9" s="116">
        <v>0</v>
      </c>
      <c r="K9" s="116">
        <v>12.867000000000001</v>
      </c>
      <c r="L9" s="116"/>
      <c r="M9" s="116"/>
      <c r="N9" s="116"/>
      <c r="O9" s="116"/>
      <c r="P9" s="116"/>
    </row>
    <row r="10" spans="1:16" x14ac:dyDescent="0.25">
      <c r="A10" s="173"/>
      <c r="C10" s="168" t="s">
        <v>182</v>
      </c>
      <c r="D10" s="116">
        <v>0</v>
      </c>
      <c r="E10" s="116">
        <v>0</v>
      </c>
      <c r="F10" s="116">
        <v>0</v>
      </c>
      <c r="G10" s="116">
        <v>0</v>
      </c>
      <c r="H10" s="116">
        <v>0</v>
      </c>
      <c r="I10" s="116">
        <v>0</v>
      </c>
      <c r="J10" s="116">
        <v>0</v>
      </c>
      <c r="K10" s="116">
        <v>300</v>
      </c>
      <c r="L10" s="116"/>
      <c r="M10" s="116"/>
      <c r="N10" s="116"/>
      <c r="O10" s="116"/>
      <c r="P10" s="116"/>
    </row>
    <row r="11" spans="1:16" x14ac:dyDescent="0.25">
      <c r="A11" s="173"/>
      <c r="C11" s="169" t="s">
        <v>183</v>
      </c>
      <c r="D11" s="172"/>
      <c r="E11" s="172"/>
      <c r="F11" s="172">
        <v>10</v>
      </c>
      <c r="G11" s="172"/>
      <c r="H11" s="172"/>
      <c r="I11" s="172"/>
      <c r="J11" s="172">
        <v>4.7699999999999996</v>
      </c>
      <c r="K11" s="172">
        <v>82557.759999999995</v>
      </c>
      <c r="L11" s="172"/>
      <c r="M11" s="172"/>
      <c r="N11" s="172"/>
      <c r="O11" s="172"/>
      <c r="P11" s="172">
        <f t="shared" si="0"/>
        <v>82572.53</v>
      </c>
    </row>
    <row r="12" spans="1:16" x14ac:dyDescent="0.25">
      <c r="A12" s="173"/>
      <c r="C12" s="168" t="s">
        <v>184</v>
      </c>
      <c r="D12" s="116"/>
      <c r="E12" s="116"/>
      <c r="F12" s="116">
        <v>10</v>
      </c>
      <c r="G12" s="116"/>
      <c r="H12" s="116"/>
      <c r="I12" s="116"/>
      <c r="J12" s="116"/>
      <c r="K12" s="116"/>
      <c r="L12" s="116"/>
      <c r="M12" s="116"/>
      <c r="N12" s="116"/>
      <c r="O12" s="116"/>
      <c r="P12" s="116">
        <f t="shared" si="0"/>
        <v>10</v>
      </c>
    </row>
    <row r="13" spans="1:16" x14ac:dyDescent="0.25">
      <c r="A13" s="173"/>
      <c r="C13" s="168" t="s">
        <v>185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4.7699999999999996</v>
      </c>
      <c r="K13" s="116"/>
      <c r="L13" s="116"/>
      <c r="M13" s="116"/>
      <c r="N13" s="116"/>
      <c r="O13" s="116"/>
      <c r="P13" s="116"/>
    </row>
    <row r="14" spans="1:16" x14ac:dyDescent="0.25">
      <c r="A14" s="173"/>
      <c r="C14" s="168" t="s">
        <v>186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10569.119999999999</v>
      </c>
      <c r="L14" s="116"/>
      <c r="M14" s="116"/>
      <c r="N14" s="116"/>
      <c r="O14" s="116"/>
      <c r="P14" s="116"/>
    </row>
    <row r="15" spans="1:16" x14ac:dyDescent="0.25">
      <c r="A15" s="173"/>
      <c r="C15" s="168" t="s">
        <v>187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60981.279999999999</v>
      </c>
      <c r="L15" s="116"/>
      <c r="M15" s="116"/>
      <c r="N15" s="116"/>
      <c r="O15" s="116"/>
      <c r="P15" s="116"/>
    </row>
    <row r="16" spans="1:16" x14ac:dyDescent="0.25">
      <c r="A16" s="173"/>
      <c r="C16" s="168" t="s">
        <v>188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9007.36</v>
      </c>
      <c r="L16" s="116"/>
      <c r="M16" s="116"/>
      <c r="N16" s="116"/>
      <c r="O16" s="116"/>
      <c r="P16" s="116"/>
    </row>
    <row r="17" spans="1:16" x14ac:dyDescent="0.25">
      <c r="A17" s="173"/>
      <c r="C17" s="168" t="s">
        <v>189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2000</v>
      </c>
      <c r="L17" s="116"/>
      <c r="M17" s="116"/>
      <c r="N17" s="116"/>
      <c r="O17" s="116"/>
      <c r="P17" s="116"/>
    </row>
    <row r="18" spans="1:16" x14ac:dyDescent="0.25">
      <c r="A18" s="173"/>
      <c r="C18" s="169" t="s">
        <v>190</v>
      </c>
      <c r="D18" s="172">
        <v>1866</v>
      </c>
      <c r="E18" s="172">
        <v>15696</v>
      </c>
      <c r="F18" s="172">
        <v>16645</v>
      </c>
      <c r="G18" s="172">
        <v>3190</v>
      </c>
      <c r="H18" s="172">
        <v>12538</v>
      </c>
      <c r="I18" s="172">
        <v>44124</v>
      </c>
      <c r="J18" s="172">
        <v>269408</v>
      </c>
      <c r="K18" s="172">
        <v>264625</v>
      </c>
      <c r="L18" s="172"/>
      <c r="M18" s="172"/>
      <c r="N18" s="172"/>
      <c r="O18" s="172"/>
      <c r="P18" s="172">
        <f t="shared" si="0"/>
        <v>628092</v>
      </c>
    </row>
    <row r="19" spans="1:16" x14ac:dyDescent="0.25">
      <c r="A19" s="173"/>
      <c r="C19" s="168" t="s">
        <v>191</v>
      </c>
      <c r="D19" s="116"/>
      <c r="E19" s="116"/>
      <c r="F19" s="116"/>
      <c r="G19" s="116"/>
      <c r="H19" s="116"/>
      <c r="I19" s="116">
        <v>41440</v>
      </c>
      <c r="J19" s="116">
        <v>262100</v>
      </c>
      <c r="K19" s="116">
        <v>246830</v>
      </c>
      <c r="L19" s="116"/>
      <c r="M19" s="116"/>
      <c r="N19" s="116"/>
      <c r="O19" s="116"/>
      <c r="P19" s="116">
        <f t="shared" si="0"/>
        <v>550370</v>
      </c>
    </row>
    <row r="20" spans="1:16" x14ac:dyDescent="0.25">
      <c r="A20" s="173"/>
      <c r="C20" s="168" t="s">
        <v>192</v>
      </c>
      <c r="D20" s="116"/>
      <c r="E20" s="116">
        <v>30</v>
      </c>
      <c r="F20" s="116">
        <v>105</v>
      </c>
      <c r="G20" s="116">
        <v>900</v>
      </c>
      <c r="H20" s="116">
        <v>1140</v>
      </c>
      <c r="I20" s="116">
        <v>1020</v>
      </c>
      <c r="J20" s="116">
        <v>5895</v>
      </c>
      <c r="K20" s="116">
        <v>12580</v>
      </c>
      <c r="L20" s="116"/>
      <c r="M20" s="116"/>
      <c r="N20" s="116"/>
      <c r="O20" s="116"/>
      <c r="P20" s="116">
        <f t="shared" si="0"/>
        <v>21670</v>
      </c>
    </row>
    <row r="21" spans="1:16" x14ac:dyDescent="0.25">
      <c r="A21" s="173"/>
      <c r="C21" s="168" t="s">
        <v>193</v>
      </c>
      <c r="D21" s="116">
        <v>660</v>
      </c>
      <c r="E21" s="116">
        <v>7740</v>
      </c>
      <c r="F21" s="116">
        <v>16455</v>
      </c>
      <c r="G21" s="116">
        <v>2275</v>
      </c>
      <c r="H21" s="116">
        <v>11370</v>
      </c>
      <c r="I21" s="116">
        <v>1350</v>
      </c>
      <c r="J21" s="116">
        <v>1050</v>
      </c>
      <c r="K21" s="116">
        <v>450</v>
      </c>
      <c r="L21" s="116"/>
      <c r="M21" s="116"/>
      <c r="N21" s="116"/>
      <c r="O21" s="116"/>
      <c r="P21" s="116">
        <f t="shared" si="0"/>
        <v>41350</v>
      </c>
    </row>
    <row r="22" spans="1:16" x14ac:dyDescent="0.25">
      <c r="A22" s="173"/>
      <c r="C22" s="168" t="s">
        <v>194</v>
      </c>
      <c r="D22" s="116">
        <v>10</v>
      </c>
      <c r="E22" s="116">
        <v>10</v>
      </c>
      <c r="F22" s="116">
        <v>47</v>
      </c>
      <c r="G22" s="116">
        <v>15</v>
      </c>
      <c r="H22" s="116">
        <v>28</v>
      </c>
      <c r="I22" s="116">
        <v>62</v>
      </c>
      <c r="J22" s="116"/>
      <c r="K22" s="116"/>
      <c r="L22" s="116"/>
      <c r="M22" s="116"/>
      <c r="N22" s="116"/>
      <c r="O22" s="116"/>
      <c r="P22" s="116">
        <f t="shared" si="0"/>
        <v>172</v>
      </c>
    </row>
    <row r="23" spans="1:16" x14ac:dyDescent="0.25">
      <c r="A23" s="173"/>
      <c r="C23" s="168" t="s">
        <v>195</v>
      </c>
      <c r="D23" s="116"/>
      <c r="E23" s="116"/>
      <c r="F23" s="116"/>
      <c r="G23" s="116"/>
      <c r="H23" s="116"/>
      <c r="I23" s="116">
        <v>3</v>
      </c>
      <c r="J23" s="116">
        <v>17</v>
      </c>
      <c r="K23" s="116">
        <v>31</v>
      </c>
      <c r="L23" s="116"/>
      <c r="M23" s="116"/>
      <c r="N23" s="116"/>
      <c r="O23" s="116"/>
      <c r="P23" s="116">
        <f t="shared" si="0"/>
        <v>51</v>
      </c>
    </row>
    <row r="24" spans="1:16" x14ac:dyDescent="0.25">
      <c r="A24" s="173"/>
      <c r="C24" s="168" t="s">
        <v>196</v>
      </c>
      <c r="D24" s="116"/>
      <c r="E24" s="116"/>
      <c r="F24" s="116">
        <v>38</v>
      </c>
      <c r="G24" s="116"/>
      <c r="H24" s="116"/>
      <c r="I24" s="116">
        <v>9</v>
      </c>
      <c r="J24" s="116"/>
      <c r="K24" s="116"/>
      <c r="L24" s="116"/>
      <c r="M24" s="116"/>
      <c r="N24" s="116"/>
      <c r="O24" s="116"/>
      <c r="P24" s="116">
        <f t="shared" si="0"/>
        <v>47</v>
      </c>
    </row>
    <row r="25" spans="1:16" x14ac:dyDescent="0.25">
      <c r="A25" s="173"/>
      <c r="C25" s="168" t="s">
        <v>135</v>
      </c>
      <c r="D25" s="116">
        <v>620</v>
      </c>
      <c r="E25" s="116">
        <v>860</v>
      </c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>
        <f t="shared" si="0"/>
        <v>1480</v>
      </c>
    </row>
    <row r="26" spans="1:16" x14ac:dyDescent="0.25">
      <c r="A26" s="173"/>
      <c r="C26" s="168" t="s">
        <v>140</v>
      </c>
      <c r="D26" s="116">
        <v>576</v>
      </c>
      <c r="E26" s="116">
        <v>7056</v>
      </c>
      <c r="F26" s="116"/>
      <c r="G26" s="116"/>
      <c r="H26" s="116"/>
      <c r="I26" s="116">
        <v>240</v>
      </c>
      <c r="J26" s="116">
        <v>336</v>
      </c>
      <c r="K26" s="116">
        <v>288</v>
      </c>
      <c r="L26" s="116"/>
      <c r="M26" s="116"/>
      <c r="N26" s="116"/>
      <c r="O26" s="116"/>
      <c r="P26" s="116">
        <f t="shared" si="0"/>
        <v>8496</v>
      </c>
    </row>
    <row r="27" spans="1:16" x14ac:dyDescent="0.25">
      <c r="A27" s="173"/>
      <c r="C27" s="168" t="s">
        <v>197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10</v>
      </c>
      <c r="K27" s="116">
        <v>46</v>
      </c>
      <c r="L27" s="116"/>
      <c r="M27" s="116"/>
      <c r="N27" s="116"/>
      <c r="O27" s="116"/>
      <c r="P27" s="116"/>
    </row>
    <row r="28" spans="1:16" x14ac:dyDescent="0.25">
      <c r="A28" s="173"/>
      <c r="C28" s="168" t="s">
        <v>198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4400</v>
      </c>
      <c r="L28" s="116"/>
      <c r="M28" s="116"/>
      <c r="N28" s="116"/>
      <c r="O28" s="116"/>
      <c r="P28" s="116"/>
    </row>
    <row r="29" spans="1:16" x14ac:dyDescent="0.25">
      <c r="A29" s="173"/>
      <c r="C29" s="169" t="s">
        <v>199</v>
      </c>
      <c r="D29" s="172">
        <v>150101</v>
      </c>
      <c r="E29" s="172">
        <v>147736</v>
      </c>
      <c r="F29" s="172">
        <v>126979</v>
      </c>
      <c r="G29" s="172">
        <v>101343</v>
      </c>
      <c r="H29" s="172">
        <v>90651</v>
      </c>
      <c r="I29" s="172">
        <v>91429</v>
      </c>
      <c r="J29" s="172">
        <v>114742</v>
      </c>
      <c r="K29" s="172">
        <v>153043.79999999999</v>
      </c>
      <c r="L29" s="172"/>
      <c r="M29" s="172"/>
      <c r="N29" s="172"/>
      <c r="O29" s="172"/>
      <c r="P29" s="172">
        <f t="shared" si="0"/>
        <v>976024.8</v>
      </c>
    </row>
    <row r="30" spans="1:16" x14ac:dyDescent="0.25">
      <c r="A30" s="173"/>
      <c r="C30" s="168" t="s">
        <v>200</v>
      </c>
      <c r="D30" s="116">
        <v>12755</v>
      </c>
      <c r="E30" s="116">
        <v>10910</v>
      </c>
      <c r="F30" s="116">
        <v>6510</v>
      </c>
      <c r="G30" s="116">
        <v>8745</v>
      </c>
      <c r="H30" s="116">
        <v>6020</v>
      </c>
      <c r="I30" s="116">
        <v>3460</v>
      </c>
      <c r="J30" s="116">
        <v>3220</v>
      </c>
      <c r="K30" s="116">
        <v>3290</v>
      </c>
      <c r="L30" s="116"/>
      <c r="M30" s="116"/>
      <c r="N30" s="116"/>
      <c r="O30" s="116"/>
      <c r="P30" s="116">
        <f t="shared" si="0"/>
        <v>54910</v>
      </c>
    </row>
    <row r="31" spans="1:16" x14ac:dyDescent="0.25">
      <c r="A31" s="173"/>
      <c r="C31" s="168" t="s">
        <v>201</v>
      </c>
      <c r="D31" s="116">
        <v>86898</v>
      </c>
      <c r="E31" s="116">
        <v>82170</v>
      </c>
      <c r="F31" s="116">
        <v>78532</v>
      </c>
      <c r="G31" s="116">
        <v>52630</v>
      </c>
      <c r="H31" s="116">
        <v>47270</v>
      </c>
      <c r="I31" s="116">
        <v>35875</v>
      </c>
      <c r="J31" s="116">
        <v>37130</v>
      </c>
      <c r="K31" s="116">
        <v>43130</v>
      </c>
      <c r="L31" s="116"/>
      <c r="M31" s="116"/>
      <c r="N31" s="116"/>
      <c r="O31" s="116"/>
      <c r="P31" s="116">
        <f t="shared" si="0"/>
        <v>463635</v>
      </c>
    </row>
    <row r="32" spans="1:16" x14ac:dyDescent="0.25">
      <c r="A32" s="173"/>
      <c r="C32" s="168" t="s">
        <v>202</v>
      </c>
      <c r="D32" s="116"/>
      <c r="E32" s="116"/>
      <c r="F32" s="116"/>
      <c r="G32" s="116"/>
      <c r="H32" s="116"/>
      <c r="I32" s="116">
        <v>2</v>
      </c>
      <c r="J32" s="116">
        <v>1</v>
      </c>
      <c r="K32" s="116">
        <v>2</v>
      </c>
      <c r="L32" s="116"/>
      <c r="M32" s="116"/>
      <c r="N32" s="116"/>
      <c r="O32" s="116"/>
      <c r="P32" s="116">
        <f t="shared" si="0"/>
        <v>5</v>
      </c>
    </row>
    <row r="33" spans="1:16" x14ac:dyDescent="0.25">
      <c r="A33" s="173"/>
      <c r="C33" s="168" t="s">
        <v>203</v>
      </c>
      <c r="D33" s="116"/>
      <c r="E33" s="116"/>
      <c r="F33" s="116"/>
      <c r="G33" s="116"/>
      <c r="H33" s="116"/>
      <c r="I33" s="116">
        <v>930</v>
      </c>
      <c r="J33" s="116">
        <v>2130</v>
      </c>
      <c r="K33" s="116">
        <v>3150</v>
      </c>
      <c r="L33" s="116"/>
      <c r="M33" s="116"/>
      <c r="N33" s="116"/>
      <c r="O33" s="116"/>
      <c r="P33" s="116">
        <f t="shared" si="0"/>
        <v>6210</v>
      </c>
    </row>
    <row r="34" spans="1:16" x14ac:dyDescent="0.25">
      <c r="A34" s="173"/>
      <c r="C34" s="168" t="s">
        <v>204</v>
      </c>
      <c r="D34" s="116"/>
      <c r="E34" s="116"/>
      <c r="F34" s="116"/>
      <c r="G34" s="116"/>
      <c r="H34" s="116"/>
      <c r="I34" s="116">
        <v>3510</v>
      </c>
      <c r="J34" s="116">
        <v>6005</v>
      </c>
      <c r="K34" s="116">
        <v>6500</v>
      </c>
      <c r="L34" s="116"/>
      <c r="M34" s="116"/>
      <c r="N34" s="116"/>
      <c r="O34" s="116"/>
      <c r="P34" s="116">
        <f t="shared" si="0"/>
        <v>16015</v>
      </c>
    </row>
    <row r="35" spans="1:16" x14ac:dyDescent="0.25">
      <c r="A35" s="173"/>
      <c r="C35" s="168" t="s">
        <v>205</v>
      </c>
      <c r="D35" s="116"/>
      <c r="E35" s="116"/>
      <c r="F35" s="116"/>
      <c r="G35" s="116">
        <v>455</v>
      </c>
      <c r="H35" s="116"/>
      <c r="I35" s="116"/>
      <c r="J35" s="116"/>
      <c r="K35" s="116"/>
      <c r="L35" s="116"/>
      <c r="M35" s="116"/>
      <c r="N35" s="116"/>
      <c r="O35" s="116"/>
      <c r="P35" s="116">
        <f t="shared" si="0"/>
        <v>455</v>
      </c>
    </row>
    <row r="36" spans="1:16" x14ac:dyDescent="0.25">
      <c r="A36" s="173"/>
      <c r="C36" s="168" t="s">
        <v>206</v>
      </c>
      <c r="D36" s="116"/>
      <c r="E36" s="116"/>
      <c r="F36" s="116">
        <v>1665</v>
      </c>
      <c r="G36" s="116">
        <v>775</v>
      </c>
      <c r="H36" s="116"/>
      <c r="I36" s="116"/>
      <c r="J36" s="116"/>
      <c r="K36" s="116"/>
      <c r="L36" s="116"/>
      <c r="M36" s="116"/>
      <c r="N36" s="116"/>
      <c r="O36" s="116"/>
      <c r="P36" s="116">
        <f t="shared" si="0"/>
        <v>2440</v>
      </c>
    </row>
    <row r="37" spans="1:16" x14ac:dyDescent="0.25">
      <c r="A37" s="173"/>
      <c r="C37" s="168" t="s">
        <v>207</v>
      </c>
      <c r="D37" s="116">
        <v>28203</v>
      </c>
      <c r="E37" s="116">
        <v>27526</v>
      </c>
      <c r="F37" s="116">
        <v>22542</v>
      </c>
      <c r="G37" s="116">
        <v>25818</v>
      </c>
      <c r="H37" s="116">
        <v>21881</v>
      </c>
      <c r="I37" s="116">
        <v>14221</v>
      </c>
      <c r="J37" s="116">
        <v>5990</v>
      </c>
      <c r="K37" s="116">
        <v>4270</v>
      </c>
      <c r="L37" s="116"/>
      <c r="M37" s="116"/>
      <c r="N37" s="116"/>
      <c r="O37" s="116"/>
      <c r="P37" s="116">
        <f t="shared" si="0"/>
        <v>150451</v>
      </c>
    </row>
    <row r="38" spans="1:16" x14ac:dyDescent="0.25">
      <c r="A38" s="173"/>
      <c r="C38" s="168" t="s">
        <v>208</v>
      </c>
      <c r="D38" s="116"/>
      <c r="E38" s="116"/>
      <c r="F38" s="116"/>
      <c r="G38" s="116"/>
      <c r="H38" s="116"/>
      <c r="I38" s="116">
        <v>11</v>
      </c>
      <c r="J38" s="116">
        <v>48</v>
      </c>
      <c r="K38" s="116">
        <v>36</v>
      </c>
      <c r="L38" s="116"/>
      <c r="M38" s="116"/>
      <c r="N38" s="116"/>
      <c r="O38" s="116"/>
      <c r="P38" s="116">
        <f t="shared" si="0"/>
        <v>95</v>
      </c>
    </row>
    <row r="39" spans="1:16" x14ac:dyDescent="0.25">
      <c r="A39" s="173"/>
      <c r="C39" s="168" t="s">
        <v>209</v>
      </c>
      <c r="D39" s="116"/>
      <c r="E39" s="116"/>
      <c r="F39" s="116"/>
      <c r="G39" s="116"/>
      <c r="H39" s="116"/>
      <c r="I39" s="116">
        <v>3590</v>
      </c>
      <c r="J39" s="116">
        <v>11000</v>
      </c>
      <c r="K39" s="116">
        <v>20710</v>
      </c>
      <c r="L39" s="116"/>
      <c r="M39" s="116"/>
      <c r="N39" s="116"/>
      <c r="O39" s="116"/>
      <c r="P39" s="116">
        <f t="shared" si="0"/>
        <v>35300</v>
      </c>
    </row>
    <row r="40" spans="1:16" x14ac:dyDescent="0.25">
      <c r="A40" s="173"/>
      <c r="C40" s="168" t="s">
        <v>210</v>
      </c>
      <c r="D40" s="116">
        <v>300</v>
      </c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>
        <f t="shared" si="0"/>
        <v>300</v>
      </c>
    </row>
    <row r="41" spans="1:16" x14ac:dyDescent="0.25">
      <c r="A41" s="173"/>
      <c r="C41" s="168" t="s">
        <v>211</v>
      </c>
      <c r="D41" s="116">
        <v>1080</v>
      </c>
      <c r="E41" s="116">
        <v>250</v>
      </c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>
        <f t="shared" si="0"/>
        <v>1330</v>
      </c>
    </row>
    <row r="42" spans="1:16" x14ac:dyDescent="0.25">
      <c r="A42" s="173"/>
      <c r="C42" s="168" t="s">
        <v>212</v>
      </c>
      <c r="D42" s="116">
        <v>20865</v>
      </c>
      <c r="E42" s="116">
        <v>25440</v>
      </c>
      <c r="F42" s="116">
        <v>15570</v>
      </c>
      <c r="G42" s="116">
        <v>12140</v>
      </c>
      <c r="H42" s="116">
        <v>13920</v>
      </c>
      <c r="I42" s="116">
        <v>20010</v>
      </c>
      <c r="J42" s="116">
        <v>29290</v>
      </c>
      <c r="K42" s="116">
        <v>42195</v>
      </c>
      <c r="L42" s="116"/>
      <c r="M42" s="116"/>
      <c r="N42" s="116"/>
      <c r="O42" s="116"/>
      <c r="P42" s="116">
        <f t="shared" si="0"/>
        <v>179430</v>
      </c>
    </row>
    <row r="43" spans="1:16" x14ac:dyDescent="0.25">
      <c r="A43" s="173"/>
      <c r="C43" s="168" t="s">
        <v>213</v>
      </c>
      <c r="D43" s="116"/>
      <c r="E43" s="116"/>
      <c r="F43" s="116"/>
      <c r="G43" s="116"/>
      <c r="H43" s="116"/>
      <c r="I43" s="116">
        <v>2500</v>
      </c>
      <c r="J43" s="116">
        <v>6160</v>
      </c>
      <c r="K43" s="116">
        <v>7785</v>
      </c>
      <c r="L43" s="116"/>
      <c r="M43" s="116"/>
      <c r="N43" s="116"/>
      <c r="O43" s="116"/>
      <c r="P43" s="116">
        <f t="shared" si="0"/>
        <v>16445</v>
      </c>
    </row>
    <row r="44" spans="1:16" x14ac:dyDescent="0.25">
      <c r="A44" s="173"/>
      <c r="C44" s="168" t="s">
        <v>214</v>
      </c>
      <c r="D44" s="116"/>
      <c r="E44" s="116">
        <v>1440</v>
      </c>
      <c r="F44" s="116">
        <v>2160</v>
      </c>
      <c r="G44" s="116">
        <v>780</v>
      </c>
      <c r="H44" s="116">
        <v>1560</v>
      </c>
      <c r="I44" s="116">
        <v>980</v>
      </c>
      <c r="J44" s="116"/>
      <c r="K44" s="116"/>
      <c r="L44" s="116"/>
      <c r="M44" s="116"/>
      <c r="N44" s="116"/>
      <c r="O44" s="116"/>
      <c r="P44" s="116">
        <f t="shared" si="0"/>
        <v>6920</v>
      </c>
    </row>
    <row r="45" spans="1:16" x14ac:dyDescent="0.25">
      <c r="A45" s="173"/>
      <c r="C45" s="168" t="s">
        <v>215</v>
      </c>
      <c r="D45" s="116"/>
      <c r="E45" s="116"/>
      <c r="F45" s="116"/>
      <c r="G45" s="116"/>
      <c r="H45" s="116"/>
      <c r="I45" s="116">
        <v>300</v>
      </c>
      <c r="J45" s="116"/>
      <c r="K45" s="116"/>
      <c r="L45" s="116"/>
      <c r="M45" s="116"/>
      <c r="N45" s="116"/>
      <c r="O45" s="116"/>
      <c r="P45" s="116">
        <f t="shared" si="0"/>
        <v>300</v>
      </c>
    </row>
    <row r="46" spans="1:16" x14ac:dyDescent="0.25">
      <c r="A46" s="173"/>
      <c r="C46" s="168" t="s">
        <v>216</v>
      </c>
      <c r="D46" s="116"/>
      <c r="E46" s="116"/>
      <c r="F46" s="116"/>
      <c r="G46" s="116"/>
      <c r="H46" s="116"/>
      <c r="I46" s="116">
        <v>6040</v>
      </c>
      <c r="J46" s="116">
        <v>13160</v>
      </c>
      <c r="K46" s="116">
        <v>20730</v>
      </c>
      <c r="L46" s="116"/>
      <c r="M46" s="116"/>
      <c r="N46" s="116"/>
      <c r="O46" s="116"/>
      <c r="P46" s="116">
        <f t="shared" si="0"/>
        <v>39930</v>
      </c>
    </row>
    <row r="47" spans="1:16" x14ac:dyDescent="0.25">
      <c r="A47" s="173"/>
      <c r="C47" s="168" t="s">
        <v>217</v>
      </c>
      <c r="D47" s="116"/>
      <c r="E47" s="116"/>
      <c r="F47" s="116"/>
      <c r="G47" s="116"/>
      <c r="H47" s="116"/>
      <c r="I47" s="116"/>
      <c r="J47" s="116">
        <v>600</v>
      </c>
      <c r="K47" s="116">
        <v>1140</v>
      </c>
      <c r="L47" s="116"/>
      <c r="M47" s="116"/>
      <c r="N47" s="116"/>
      <c r="O47" s="116"/>
      <c r="P47" s="116"/>
    </row>
    <row r="48" spans="1:16" x14ac:dyDescent="0.25">
      <c r="A48" s="173"/>
      <c r="C48" s="168" t="s">
        <v>218</v>
      </c>
      <c r="D48" s="116"/>
      <c r="E48" s="116"/>
      <c r="F48" s="116"/>
      <c r="G48" s="116"/>
      <c r="H48" s="116"/>
      <c r="I48" s="116"/>
      <c r="J48" s="116">
        <v>5</v>
      </c>
      <c r="K48" s="116">
        <v>1</v>
      </c>
      <c r="L48" s="116"/>
      <c r="M48" s="116"/>
      <c r="N48" s="116"/>
      <c r="O48" s="116"/>
      <c r="P48" s="116"/>
    </row>
    <row r="49" spans="1:16" x14ac:dyDescent="0.25">
      <c r="A49" s="173"/>
      <c r="C49" s="168" t="s">
        <v>219</v>
      </c>
      <c r="D49" s="116"/>
      <c r="E49" s="116"/>
      <c r="F49" s="116"/>
      <c r="G49" s="116"/>
      <c r="H49" s="116"/>
      <c r="I49" s="116"/>
      <c r="J49" s="116">
        <v>3</v>
      </c>
      <c r="K49" s="116"/>
      <c r="L49" s="116"/>
      <c r="M49" s="116"/>
      <c r="N49" s="116"/>
      <c r="O49" s="116"/>
      <c r="P49" s="116"/>
    </row>
    <row r="50" spans="1:16" x14ac:dyDescent="0.25">
      <c r="A50" s="173"/>
      <c r="C50" s="168" t="s">
        <v>220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90.8</v>
      </c>
      <c r="L50" s="116"/>
      <c r="M50" s="116"/>
      <c r="N50" s="116"/>
      <c r="O50" s="116"/>
      <c r="P50" s="116"/>
    </row>
    <row r="51" spans="1:16" x14ac:dyDescent="0.25">
      <c r="A51" s="173"/>
      <c r="C51" s="168" t="s">
        <v>221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14</v>
      </c>
      <c r="L51" s="116"/>
      <c r="M51" s="116"/>
      <c r="N51" s="116"/>
      <c r="O51" s="116"/>
      <c r="P51" s="116"/>
    </row>
    <row r="52" spans="1:16" x14ac:dyDescent="0.25">
      <c r="A52" s="173"/>
      <c r="C52" s="169" t="s">
        <v>222</v>
      </c>
      <c r="D52" s="172"/>
      <c r="E52" s="172"/>
      <c r="F52" s="172"/>
      <c r="G52" s="172"/>
      <c r="H52" s="172"/>
      <c r="I52" s="172">
        <v>113</v>
      </c>
      <c r="J52" s="172"/>
      <c r="K52" s="172"/>
      <c r="L52" s="172"/>
      <c r="M52" s="172"/>
      <c r="N52" s="172"/>
      <c r="O52" s="172"/>
      <c r="P52" s="172">
        <f t="shared" si="0"/>
        <v>113</v>
      </c>
    </row>
    <row r="53" spans="1:16" x14ac:dyDescent="0.25">
      <c r="A53" s="173"/>
      <c r="C53" s="168" t="s">
        <v>223</v>
      </c>
      <c r="D53" s="116"/>
      <c r="E53" s="116"/>
      <c r="F53" s="116"/>
      <c r="G53" s="116"/>
      <c r="H53" s="116"/>
      <c r="I53" s="116">
        <v>113</v>
      </c>
      <c r="J53" s="116"/>
      <c r="K53" s="116"/>
      <c r="L53" s="116"/>
      <c r="M53" s="116"/>
      <c r="N53" s="116"/>
      <c r="O53" s="116"/>
      <c r="P53" s="116">
        <f t="shared" si="0"/>
        <v>113</v>
      </c>
    </row>
    <row r="54" spans="1:16" x14ac:dyDescent="0.25">
      <c r="A54" s="173"/>
      <c r="B54" s="246"/>
      <c r="C54" s="169" t="s">
        <v>224</v>
      </c>
      <c r="D54" s="172">
        <v>6</v>
      </c>
      <c r="E54" s="172">
        <v>352</v>
      </c>
      <c r="F54" s="172">
        <v>8</v>
      </c>
      <c r="G54" s="172"/>
      <c r="H54" s="172"/>
      <c r="I54" s="172">
        <v>2</v>
      </c>
      <c r="J54" s="172">
        <v>8</v>
      </c>
      <c r="K54" s="172"/>
      <c r="L54" s="172"/>
      <c r="M54" s="172"/>
      <c r="N54" s="172"/>
      <c r="O54" s="172"/>
      <c r="P54" s="172">
        <f t="shared" si="0"/>
        <v>376</v>
      </c>
    </row>
    <row r="55" spans="1:16" x14ac:dyDescent="0.25">
      <c r="A55" s="173"/>
      <c r="B55" s="246"/>
      <c r="C55" s="168" t="s">
        <v>225</v>
      </c>
      <c r="D55" s="116"/>
      <c r="E55" s="116">
        <v>350</v>
      </c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>
        <f t="shared" si="0"/>
        <v>350</v>
      </c>
    </row>
    <row r="56" spans="1:16" x14ac:dyDescent="0.25">
      <c r="A56" s="173"/>
      <c r="B56" s="246"/>
      <c r="C56" s="168" t="s">
        <v>226</v>
      </c>
      <c r="D56" s="116">
        <v>6</v>
      </c>
      <c r="E56" s="116">
        <v>2</v>
      </c>
      <c r="F56" s="116">
        <v>8</v>
      </c>
      <c r="G56" s="116"/>
      <c r="H56" s="116"/>
      <c r="I56" s="116"/>
      <c r="J56" s="116"/>
      <c r="K56" s="116"/>
      <c r="L56" s="116"/>
      <c r="M56" s="116"/>
      <c r="N56" s="116"/>
      <c r="O56" s="116"/>
      <c r="P56" s="116">
        <f t="shared" si="0"/>
        <v>16</v>
      </c>
    </row>
    <row r="57" spans="1:16" x14ac:dyDescent="0.25">
      <c r="A57" s="173"/>
      <c r="B57" s="246"/>
      <c r="C57" s="168" t="s">
        <v>227</v>
      </c>
      <c r="D57" s="116"/>
      <c r="E57" s="116"/>
      <c r="F57" s="116"/>
      <c r="G57" s="116"/>
      <c r="H57" s="116"/>
      <c r="I57" s="116">
        <v>2</v>
      </c>
      <c r="J57" s="116">
        <v>8</v>
      </c>
      <c r="K57" s="116"/>
      <c r="L57" s="116"/>
      <c r="M57" s="116"/>
      <c r="N57" s="116"/>
      <c r="O57" s="116"/>
      <c r="P57" s="116">
        <f t="shared" si="0"/>
        <v>10</v>
      </c>
    </row>
    <row r="58" spans="1:16" x14ac:dyDescent="0.25">
      <c r="A58" s="173"/>
      <c r="B58" s="246"/>
      <c r="C58" s="169" t="s">
        <v>228</v>
      </c>
      <c r="D58" s="172">
        <v>310840</v>
      </c>
      <c r="E58" s="172">
        <v>268530</v>
      </c>
      <c r="F58" s="172">
        <v>256561</v>
      </c>
      <c r="G58" s="172">
        <v>202315.78399999999</v>
      </c>
      <c r="H58" s="172">
        <v>211365.432</v>
      </c>
      <c r="I58" s="172">
        <v>141069.30799999999</v>
      </c>
      <c r="J58" s="172">
        <v>9885.7999999999993</v>
      </c>
      <c r="K58" s="172">
        <v>81711.565999999992</v>
      </c>
      <c r="L58" s="172"/>
      <c r="M58" s="172"/>
      <c r="N58" s="172"/>
      <c r="O58" s="172"/>
      <c r="P58" s="172">
        <f t="shared" si="0"/>
        <v>1482278.8900000001</v>
      </c>
    </row>
    <row r="59" spans="1:16" x14ac:dyDescent="0.25">
      <c r="A59" s="173"/>
      <c r="B59" s="246"/>
      <c r="C59" s="168" t="s">
        <v>229</v>
      </c>
      <c r="D59" s="116"/>
      <c r="E59" s="116">
        <v>150</v>
      </c>
      <c r="F59" s="116"/>
      <c r="G59" s="116"/>
      <c r="H59" s="116"/>
      <c r="I59" s="116">
        <v>80</v>
      </c>
      <c r="J59" s="116"/>
      <c r="K59" s="116">
        <v>50</v>
      </c>
      <c r="L59" s="116"/>
      <c r="M59" s="116"/>
      <c r="N59" s="116"/>
      <c r="O59" s="116"/>
      <c r="P59" s="116">
        <f t="shared" si="0"/>
        <v>280</v>
      </c>
    </row>
    <row r="60" spans="1:16" x14ac:dyDescent="0.25">
      <c r="A60" s="173"/>
      <c r="B60" s="246"/>
      <c r="C60" s="168" t="s">
        <v>230</v>
      </c>
      <c r="D60" s="116">
        <v>310840</v>
      </c>
      <c r="E60" s="116">
        <v>268380</v>
      </c>
      <c r="F60" s="116">
        <v>256560</v>
      </c>
      <c r="G60" s="116">
        <v>202315.78399999999</v>
      </c>
      <c r="H60" s="116">
        <v>211365.432</v>
      </c>
      <c r="I60" s="116">
        <v>140989.30799999999</v>
      </c>
      <c r="J60" s="116">
        <v>9885.7999999999993</v>
      </c>
      <c r="K60" s="116">
        <v>81661.565999999992</v>
      </c>
      <c r="L60" s="116"/>
      <c r="M60" s="116"/>
      <c r="N60" s="116"/>
      <c r="O60" s="116"/>
      <c r="P60" s="116">
        <f t="shared" si="0"/>
        <v>1481997.8900000001</v>
      </c>
    </row>
    <row r="61" spans="1:16" x14ac:dyDescent="0.25">
      <c r="A61" s="173"/>
      <c r="B61" s="246"/>
      <c r="C61" s="168" t="s">
        <v>231</v>
      </c>
      <c r="D61" s="116"/>
      <c r="E61" s="116"/>
      <c r="F61" s="116">
        <v>1</v>
      </c>
      <c r="G61" s="116"/>
      <c r="H61" s="116"/>
      <c r="I61" s="116"/>
      <c r="J61" s="116"/>
      <c r="K61" s="116"/>
      <c r="L61" s="116"/>
      <c r="M61" s="116"/>
      <c r="N61" s="116"/>
      <c r="O61" s="116"/>
      <c r="P61" s="116">
        <f t="shared" si="0"/>
        <v>1</v>
      </c>
    </row>
    <row r="62" spans="1:16" x14ac:dyDescent="0.25">
      <c r="P62" s="174">
        <f t="shared" si="0"/>
        <v>0</v>
      </c>
    </row>
    <row r="63" spans="1:16" x14ac:dyDescent="0.25">
      <c r="C63" s="169" t="s">
        <v>232</v>
      </c>
      <c r="D63" s="172">
        <f t="shared" ref="D63:O63" si="1">+D58+D54+D52+D29+D18+D11+D4+D2</f>
        <v>462841.68</v>
      </c>
      <c r="E63" s="172">
        <f t="shared" si="1"/>
        <v>432331.1</v>
      </c>
      <c r="F63" s="172">
        <f t="shared" si="1"/>
        <v>400233.20899999997</v>
      </c>
      <c r="G63" s="172">
        <f t="shared" si="1"/>
        <v>306863.179</v>
      </c>
      <c r="H63" s="172">
        <f t="shared" si="1"/>
        <v>314892.82700000005</v>
      </c>
      <c r="I63" s="172">
        <f t="shared" si="1"/>
        <v>285851.74499999994</v>
      </c>
      <c r="J63" s="172">
        <f t="shared" si="1"/>
        <v>404337.16100000002</v>
      </c>
      <c r="K63" s="172">
        <f t="shared" si="1"/>
        <v>616207.19299999985</v>
      </c>
      <c r="L63" s="172">
        <f t="shared" si="1"/>
        <v>0</v>
      </c>
      <c r="M63" s="172">
        <f t="shared" si="1"/>
        <v>0</v>
      </c>
      <c r="N63" s="172">
        <f t="shared" si="1"/>
        <v>0</v>
      </c>
      <c r="O63" s="172">
        <f t="shared" si="1"/>
        <v>0</v>
      </c>
      <c r="P63" s="172">
        <f t="shared" si="0"/>
        <v>3223558.094</v>
      </c>
    </row>
    <row r="64" spans="1:16" s="246" customFormat="1" x14ac:dyDescent="0.25">
      <c r="C64" s="247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</row>
    <row r="65" spans="1:17" x14ac:dyDescent="0.25">
      <c r="C65" s="175"/>
      <c r="D65" s="217"/>
      <c r="E65" s="217"/>
      <c r="F65" s="217"/>
      <c r="G65" s="217"/>
      <c r="H65" s="217"/>
      <c r="I65" s="217"/>
      <c r="J65" s="175"/>
      <c r="K65" s="175"/>
      <c r="L65" s="175"/>
      <c r="M65" s="175"/>
      <c r="N65" s="175"/>
      <c r="O65" s="176"/>
      <c r="P65" s="176"/>
      <c r="Q65" s="116"/>
    </row>
    <row r="66" spans="1:17" x14ac:dyDescent="0.25">
      <c r="O66" s="176"/>
      <c r="P66" s="176"/>
      <c r="Q66" s="176"/>
    </row>
    <row r="67" spans="1:17" s="173" customFormat="1" x14ac:dyDescent="0.25">
      <c r="A67" s="152">
        <v>4310102</v>
      </c>
      <c r="B67" s="191" t="s">
        <v>233</v>
      </c>
      <c r="C67" s="192" t="s">
        <v>234</v>
      </c>
      <c r="D67" s="177">
        <v>45292</v>
      </c>
      <c r="E67" s="177">
        <v>45323</v>
      </c>
      <c r="F67" s="177">
        <v>45352</v>
      </c>
      <c r="G67" s="177">
        <v>45383</v>
      </c>
      <c r="H67" s="177">
        <v>45413</v>
      </c>
      <c r="I67" s="177">
        <v>45444</v>
      </c>
      <c r="J67" s="177">
        <v>45474</v>
      </c>
      <c r="K67" s="177">
        <v>45505</v>
      </c>
      <c r="L67" s="177">
        <v>45536</v>
      </c>
      <c r="M67" s="177">
        <v>45566</v>
      </c>
      <c r="N67" s="177">
        <v>45597</v>
      </c>
      <c r="O67" s="177">
        <v>45627</v>
      </c>
      <c r="P67" s="178" t="s">
        <v>235</v>
      </c>
      <c r="Q67" s="179"/>
    </row>
    <row r="68" spans="1:17" x14ac:dyDescent="0.25">
      <c r="A68" s="196" t="s">
        <v>236</v>
      </c>
      <c r="B68" s="207">
        <f>+'estruturas MODELOS'!F99</f>
        <v>21.854447413333336</v>
      </c>
      <c r="C68" s="197" t="s">
        <v>237</v>
      </c>
      <c r="D68" s="186">
        <v>41845.825945000004</v>
      </c>
      <c r="E68" s="186">
        <v>351989.32692000002</v>
      </c>
      <c r="F68" s="186">
        <v>373271.04654583335</v>
      </c>
      <c r="G68" s="186">
        <v>71537.076508333339</v>
      </c>
      <c r="H68" s="186">
        <v>281169.86371833336</v>
      </c>
      <c r="I68" s="186">
        <v>989499.04823000007</v>
      </c>
      <c r="J68" s="186">
        <v>163884.93891000003</v>
      </c>
      <c r="K68" s="186">
        <f>(K18-K19)*$B$68</f>
        <v>388899.89172026672</v>
      </c>
      <c r="L68" s="186">
        <f>+L18*$B$68</f>
        <v>0</v>
      </c>
      <c r="M68" s="186">
        <f>+M18*$B$68</f>
        <v>0</v>
      </c>
      <c r="N68" s="186">
        <f>+N18*$B$68</f>
        <v>0</v>
      </c>
      <c r="O68" s="186">
        <f>+O18*$B$68</f>
        <v>0</v>
      </c>
      <c r="P68" s="219">
        <f t="shared" ref="P68:P87" si="2">SUM(D68:O68)</f>
        <v>2662097.0184977665</v>
      </c>
      <c r="Q68" s="176"/>
    </row>
    <row r="69" spans="1:17" x14ac:dyDescent="0.25">
      <c r="A69" s="196" t="s">
        <v>238</v>
      </c>
      <c r="B69" s="207">
        <f>+'estruturas MODELOS'!F19</f>
        <v>22.528974965199996</v>
      </c>
      <c r="C69" s="197" t="s">
        <v>239</v>
      </c>
      <c r="D69" s="186">
        <v>3472902.5833754246</v>
      </c>
      <c r="E69" s="186">
        <v>3418183.3302746266</v>
      </c>
      <c r="F69" s="186">
        <v>2937926.4437573906</v>
      </c>
      <c r="G69" s="186">
        <v>2344783.6224076832</v>
      </c>
      <c r="H69" s="186">
        <v>2097401.696761285</v>
      </c>
      <c r="I69" s="186">
        <v>2115402.3643775308</v>
      </c>
      <c r="J69" s="186">
        <v>2654797.6910324581</v>
      </c>
      <c r="K69" s="186">
        <f t="shared" ref="K69:O69" si="3">+K29*$B$69</f>
        <v>3447919.9387790747</v>
      </c>
      <c r="L69" s="186">
        <f t="shared" si="3"/>
        <v>0</v>
      </c>
      <c r="M69" s="186">
        <f t="shared" si="3"/>
        <v>0</v>
      </c>
      <c r="N69" s="186">
        <f t="shared" si="3"/>
        <v>0</v>
      </c>
      <c r="O69" s="186">
        <f t="shared" si="3"/>
        <v>0</v>
      </c>
      <c r="P69" s="219">
        <f t="shared" si="2"/>
        <v>22489317.670765471</v>
      </c>
      <c r="Q69" s="176"/>
    </row>
    <row r="70" spans="1:17" x14ac:dyDescent="0.25">
      <c r="A70" s="196" t="s">
        <v>240</v>
      </c>
      <c r="B70" s="207">
        <f>+'estruturas MODELOS'!F110</f>
        <v>21.854447413333336</v>
      </c>
      <c r="C70" s="197" t="s">
        <v>241</v>
      </c>
      <c r="D70" s="186">
        <v>0</v>
      </c>
      <c r="E70" s="186">
        <v>0</v>
      </c>
      <c r="F70" s="186">
        <v>0</v>
      </c>
      <c r="G70" s="186">
        <v>0</v>
      </c>
      <c r="H70" s="186">
        <v>0</v>
      </c>
      <c r="I70" s="186">
        <v>2534.0719891666668</v>
      </c>
      <c r="J70" s="186">
        <v>0</v>
      </c>
      <c r="K70" s="186">
        <f>+K52*$B$70</f>
        <v>0</v>
      </c>
      <c r="L70" s="186">
        <f t="shared" ref="L70:O70" si="4">+L52*$B$70</f>
        <v>0</v>
      </c>
      <c r="M70" s="186">
        <f t="shared" si="4"/>
        <v>0</v>
      </c>
      <c r="N70" s="186">
        <f t="shared" si="4"/>
        <v>0</v>
      </c>
      <c r="O70" s="186">
        <f t="shared" si="4"/>
        <v>0</v>
      </c>
      <c r="P70" s="219">
        <f t="shared" si="2"/>
        <v>2534.0719891666668</v>
      </c>
      <c r="Q70" s="176"/>
    </row>
    <row r="71" spans="1:17" x14ac:dyDescent="0.25">
      <c r="A71" s="196" t="s">
        <v>242</v>
      </c>
      <c r="B71" s="207">
        <f>+'estruturas MODELOS'!F30</f>
        <v>21.571729299999998</v>
      </c>
      <c r="C71" s="197" t="s">
        <v>243</v>
      </c>
      <c r="D71" s="186">
        <v>133.013859</v>
      </c>
      <c r="E71" s="186">
        <v>7803.4797280000003</v>
      </c>
      <c r="F71" s="186">
        <v>177.351812</v>
      </c>
      <c r="G71" s="186">
        <v>0</v>
      </c>
      <c r="H71" s="186">
        <v>0</v>
      </c>
      <c r="I71" s="186">
        <v>44.337952999999999</v>
      </c>
      <c r="J71" s="186">
        <v>177.351812</v>
      </c>
      <c r="K71" s="186">
        <f>+K54*$B$71</f>
        <v>0</v>
      </c>
      <c r="L71" s="186">
        <f t="shared" ref="L71:O71" si="5">+L54*$B$71</f>
        <v>0</v>
      </c>
      <c r="M71" s="186">
        <f t="shared" si="5"/>
        <v>0</v>
      </c>
      <c r="N71" s="186">
        <f t="shared" si="5"/>
        <v>0</v>
      </c>
      <c r="O71" s="186">
        <f t="shared" si="5"/>
        <v>0</v>
      </c>
      <c r="P71" s="219">
        <f t="shared" si="2"/>
        <v>8335.5351640000008</v>
      </c>
      <c r="Q71" s="176"/>
    </row>
    <row r="72" spans="1:17" x14ac:dyDescent="0.25">
      <c r="A72" s="4"/>
      <c r="B72" s="214"/>
      <c r="C72" s="25"/>
      <c r="D72" s="220">
        <v>3514881.4231794248</v>
      </c>
      <c r="E72" s="220">
        <v>3777976.1369226263</v>
      </c>
      <c r="F72" s="220">
        <v>3311374.8421152239</v>
      </c>
      <c r="G72" s="220">
        <v>2416320.6989160166</v>
      </c>
      <c r="H72" s="220">
        <v>2378571.5604796181</v>
      </c>
      <c r="I72" s="220">
        <v>3107479.8225496975</v>
      </c>
      <c r="J72" s="220">
        <v>2818859.981754458</v>
      </c>
      <c r="K72" s="220">
        <f>SUM(K68:K71)</f>
        <v>3836819.8304993412</v>
      </c>
      <c r="L72" s="220">
        <f t="shared" ref="L72:O72" si="6">SUM(L68:L71)</f>
        <v>0</v>
      </c>
      <c r="M72" s="220">
        <f t="shared" si="6"/>
        <v>0</v>
      </c>
      <c r="N72" s="220">
        <f t="shared" si="6"/>
        <v>0</v>
      </c>
      <c r="O72" s="220">
        <f t="shared" si="6"/>
        <v>0</v>
      </c>
      <c r="P72" s="220">
        <f t="shared" ref="P72" si="7">SUM(D72:O72)</f>
        <v>25162284.296416406</v>
      </c>
      <c r="Q72" s="185"/>
    </row>
    <row r="73" spans="1:17" x14ac:dyDescent="0.25">
      <c r="A73" s="4"/>
      <c r="B73" s="214"/>
      <c r="C73" s="2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6"/>
      <c r="Q73" s="185"/>
    </row>
    <row r="74" spans="1:17" x14ac:dyDescent="0.25">
      <c r="A74" s="152">
        <v>4310103</v>
      </c>
      <c r="B74" s="191" t="s">
        <v>233</v>
      </c>
      <c r="C74" s="193" t="s">
        <v>244</v>
      </c>
      <c r="D74" s="177">
        <v>45292</v>
      </c>
      <c r="E74" s="177">
        <v>45323</v>
      </c>
      <c r="F74" s="177">
        <v>45352</v>
      </c>
      <c r="G74" s="177">
        <v>45383</v>
      </c>
      <c r="H74" s="177">
        <v>45413</v>
      </c>
      <c r="I74" s="177">
        <v>45444</v>
      </c>
      <c r="J74" s="177">
        <v>45474</v>
      </c>
      <c r="K74" s="177">
        <v>45505</v>
      </c>
      <c r="L74" s="177">
        <v>45536</v>
      </c>
      <c r="M74" s="177">
        <v>45566</v>
      </c>
      <c r="N74" s="177">
        <v>45597</v>
      </c>
      <c r="O74" s="177">
        <v>45627</v>
      </c>
      <c r="P74" s="178" t="s">
        <v>235</v>
      </c>
      <c r="Q74" s="185"/>
    </row>
    <row r="75" spans="1:17" ht="15" customHeight="1" x14ac:dyDescent="0.25">
      <c r="A75" s="196" t="s">
        <v>174</v>
      </c>
      <c r="B75" s="207">
        <f>+'estruturas MODELOS'!F164</f>
        <v>6.8230387500000003</v>
      </c>
      <c r="C75" s="197" t="s">
        <v>175</v>
      </c>
      <c r="D75" s="186">
        <v>0</v>
      </c>
      <c r="E75" s="186">
        <v>0</v>
      </c>
      <c r="F75" s="186">
        <v>0</v>
      </c>
      <c r="G75" s="186">
        <v>0</v>
      </c>
      <c r="H75" s="186">
        <v>0</v>
      </c>
      <c r="I75" s="186">
        <v>63227.775600000001</v>
      </c>
      <c r="J75" s="186">
        <v>71202.45</v>
      </c>
      <c r="K75" s="186">
        <f t="shared" ref="K75:O75" si="8">+K2*$B$75</f>
        <v>228610.00714199999</v>
      </c>
      <c r="L75" s="186">
        <f t="shared" si="8"/>
        <v>0</v>
      </c>
      <c r="M75" s="186">
        <f t="shared" si="8"/>
        <v>0</v>
      </c>
      <c r="N75" s="186">
        <f t="shared" si="8"/>
        <v>0</v>
      </c>
      <c r="O75" s="186">
        <f t="shared" si="8"/>
        <v>0</v>
      </c>
      <c r="P75" s="219">
        <f t="shared" ref="P75:P82" si="9">SUM(D75:O75)</f>
        <v>363040.23274200002</v>
      </c>
      <c r="Q75" s="176"/>
    </row>
    <row r="76" spans="1:17" ht="15" customHeight="1" x14ac:dyDescent="0.25">
      <c r="A76" s="196" t="s">
        <v>176</v>
      </c>
      <c r="B76" s="207">
        <f>+'estruturas MODELOS'!F164</f>
        <v>6.8230387500000003</v>
      </c>
      <c r="C76" s="197" t="s">
        <v>245</v>
      </c>
      <c r="D76" s="186">
        <v>204.2086266</v>
      </c>
      <c r="E76" s="186">
        <v>121.75618949999998</v>
      </c>
      <c r="F76" s="186">
        <v>215.09548120500003</v>
      </c>
      <c r="G76" s="186">
        <v>102.49592677499999</v>
      </c>
      <c r="H76" s="186">
        <v>2409.4553067749998</v>
      </c>
      <c r="I76" s="186">
        <v>1669.248877065</v>
      </c>
      <c r="J76" s="186">
        <v>2054.8386247949998</v>
      </c>
      <c r="K76" s="186">
        <f t="shared" ref="K76:O76" si="10">+K4*$B$76</f>
        <v>5209.164925346251</v>
      </c>
      <c r="L76" s="186">
        <f t="shared" si="10"/>
        <v>0</v>
      </c>
      <c r="M76" s="186">
        <f t="shared" si="10"/>
        <v>0</v>
      </c>
      <c r="N76" s="186">
        <f t="shared" si="10"/>
        <v>0</v>
      </c>
      <c r="O76" s="186">
        <f t="shared" si="10"/>
        <v>0</v>
      </c>
      <c r="P76" s="219">
        <f t="shared" si="9"/>
        <v>11986.26395806125</v>
      </c>
      <c r="Q76" s="176"/>
    </row>
    <row r="77" spans="1:17" x14ac:dyDescent="0.25">
      <c r="A77" s="196" t="s">
        <v>183</v>
      </c>
      <c r="B77" s="207">
        <f>+'estruturas MODELOS'!F164</f>
        <v>6.8230387500000003</v>
      </c>
      <c r="C77" s="197" t="s">
        <v>184</v>
      </c>
      <c r="D77" s="186">
        <v>0</v>
      </c>
      <c r="E77" s="186">
        <v>0</v>
      </c>
      <c r="F77" s="186">
        <v>71.202449999999999</v>
      </c>
      <c r="G77" s="186">
        <v>0</v>
      </c>
      <c r="H77" s="186">
        <v>0</v>
      </c>
      <c r="I77" s="186">
        <v>0</v>
      </c>
      <c r="J77" s="186">
        <v>33.963568649999999</v>
      </c>
      <c r="K77" s="186">
        <f t="shared" ref="K77:O77" si="11">+K11*$B$77</f>
        <v>563294.79559320002</v>
      </c>
      <c r="L77" s="186">
        <f t="shared" si="11"/>
        <v>0</v>
      </c>
      <c r="M77" s="186">
        <f t="shared" si="11"/>
        <v>0</v>
      </c>
      <c r="N77" s="186">
        <f t="shared" si="11"/>
        <v>0</v>
      </c>
      <c r="O77" s="186">
        <f t="shared" si="11"/>
        <v>0</v>
      </c>
      <c r="P77" s="219">
        <f t="shared" si="9"/>
        <v>563399.96161185007</v>
      </c>
      <c r="Q77" s="176"/>
    </row>
    <row r="78" spans="1:17" x14ac:dyDescent="0.25">
      <c r="A78" s="196" t="s">
        <v>190</v>
      </c>
      <c r="B78" s="207">
        <f>'estruturas MODELOS'!F156</f>
        <v>0.68583973880597027</v>
      </c>
      <c r="C78" s="197" t="s">
        <v>191</v>
      </c>
      <c r="D78" s="186">
        <v>1314.2767164179106</v>
      </c>
      <c r="E78" s="186">
        <v>11055.137910447764</v>
      </c>
      <c r="F78" s="186">
        <v>11723.545522388062</v>
      </c>
      <c r="G78" s="186">
        <v>2246.8074626865678</v>
      </c>
      <c r="H78" s="186">
        <v>8830.8689552238829</v>
      </c>
      <c r="I78" s="186">
        <v>31077.784477611945</v>
      </c>
      <c r="J78" s="186">
        <v>184604.46268656719</v>
      </c>
      <c r="K78" s="186">
        <f>+K19*$B$78</f>
        <v>169285.82272947763</v>
      </c>
      <c r="L78" s="186">
        <f>+L18*$B$78</f>
        <v>0</v>
      </c>
      <c r="M78" s="186">
        <f>+M18*$B$78</f>
        <v>0</v>
      </c>
      <c r="N78" s="186">
        <f>+N18*$B$78</f>
        <v>0</v>
      </c>
      <c r="O78" s="186">
        <f>+O18*$B$78</f>
        <v>0</v>
      </c>
      <c r="P78" s="219">
        <f t="shared" si="9"/>
        <v>420138.70646082098</v>
      </c>
      <c r="Q78" s="176"/>
    </row>
    <row r="79" spans="1:17" x14ac:dyDescent="0.25">
      <c r="A79" s="196" t="s">
        <v>228</v>
      </c>
      <c r="B79" s="207">
        <f>+'estruturas MODELOS'!F150</f>
        <v>0.27338437500000001</v>
      </c>
      <c r="C79" s="197" t="s">
        <v>229</v>
      </c>
      <c r="D79" s="186">
        <v>0</v>
      </c>
      <c r="E79" s="186">
        <v>42.736443749999999</v>
      </c>
      <c r="F79" s="186">
        <v>0</v>
      </c>
      <c r="G79" s="186">
        <v>0</v>
      </c>
      <c r="H79" s="186">
        <v>0</v>
      </c>
      <c r="I79" s="186">
        <v>22.792770000000001</v>
      </c>
      <c r="J79" s="186">
        <v>0</v>
      </c>
      <c r="K79" s="186">
        <f>+K59*$B$79</f>
        <v>13.669218750000001</v>
      </c>
      <c r="L79" s="186">
        <f t="shared" ref="L79:O79" si="12">+L59*$B$79</f>
        <v>0</v>
      </c>
      <c r="M79" s="186">
        <f t="shared" si="12"/>
        <v>0</v>
      </c>
      <c r="N79" s="186">
        <f t="shared" si="12"/>
        <v>0</v>
      </c>
      <c r="O79" s="186">
        <f t="shared" si="12"/>
        <v>0</v>
      </c>
      <c r="P79" s="219">
        <f t="shared" si="9"/>
        <v>79.198432499999996</v>
      </c>
      <c r="Q79" s="176"/>
    </row>
    <row r="80" spans="1:17" x14ac:dyDescent="0.25">
      <c r="A80" s="196" t="s">
        <v>228</v>
      </c>
      <c r="B80" s="207">
        <f>+'estruturas MODELOS'!F156</f>
        <v>0.68583973880597027</v>
      </c>
      <c r="C80" s="197" t="s">
        <v>230</v>
      </c>
      <c r="D80" s="186">
        <v>218933.42686567167</v>
      </c>
      <c r="E80" s="186">
        <v>189027.64477611944</v>
      </c>
      <c r="F80" s="186">
        <v>180702.48358208957</v>
      </c>
      <c r="G80" s="186">
        <v>142496.74398447762</v>
      </c>
      <c r="H80" s="186">
        <v>148870.66770268659</v>
      </c>
      <c r="I80" s="186">
        <v>99302.767828656724</v>
      </c>
      <c r="J80" s="186">
        <v>6962.8492835820898</v>
      </c>
      <c r="K80" s="186">
        <f>+K60*$B$80</f>
        <v>56006.747095926497</v>
      </c>
      <c r="L80" s="186">
        <f t="shared" ref="L80:O80" si="13">+L60*$B$80</f>
        <v>0</v>
      </c>
      <c r="M80" s="186">
        <f t="shared" si="13"/>
        <v>0</v>
      </c>
      <c r="N80" s="186">
        <f t="shared" si="13"/>
        <v>0</v>
      </c>
      <c r="O80" s="186">
        <f t="shared" si="13"/>
        <v>0</v>
      </c>
      <c r="P80" s="219">
        <f t="shared" si="9"/>
        <v>1042303.3311192102</v>
      </c>
      <c r="Q80" s="176"/>
    </row>
    <row r="81" spans="1:18" x14ac:dyDescent="0.25">
      <c r="A81" s="196" t="s">
        <v>228</v>
      </c>
      <c r="B81" s="207">
        <f>+'estruturas MODELOS'!F132</f>
        <v>1.5554005499999999</v>
      </c>
      <c r="C81" s="197" t="s">
        <v>231</v>
      </c>
      <c r="D81" s="186">
        <v>0</v>
      </c>
      <c r="E81" s="186">
        <v>0</v>
      </c>
      <c r="F81" s="186">
        <v>1.5846765</v>
      </c>
      <c r="G81" s="186">
        <v>0</v>
      </c>
      <c r="H81" s="186">
        <v>0</v>
      </c>
      <c r="I81" s="186">
        <v>0</v>
      </c>
      <c r="J81" s="186">
        <v>0</v>
      </c>
      <c r="K81" s="186">
        <f>+K61*$B$81</f>
        <v>0</v>
      </c>
      <c r="L81" s="186">
        <f t="shared" ref="L81:O81" si="14">+L61*$B$81</f>
        <v>0</v>
      </c>
      <c r="M81" s="186">
        <f t="shared" si="14"/>
        <v>0</v>
      </c>
      <c r="N81" s="186">
        <f t="shared" si="14"/>
        <v>0</v>
      </c>
      <c r="O81" s="186">
        <f t="shared" si="14"/>
        <v>0</v>
      </c>
      <c r="P81" s="219">
        <f t="shared" si="9"/>
        <v>1.5846765</v>
      </c>
      <c r="Q81" s="176"/>
    </row>
    <row r="82" spans="1:18" s="180" customFormat="1" x14ac:dyDescent="0.25">
      <c r="B82" s="208"/>
      <c r="C82" s="182"/>
      <c r="D82" s="187">
        <v>220451.91220868958</v>
      </c>
      <c r="E82" s="187">
        <v>200247.27531981721</v>
      </c>
      <c r="F82" s="187">
        <v>192713.91171218263</v>
      </c>
      <c r="G82" s="187">
        <v>144846.04737393919</v>
      </c>
      <c r="H82" s="187">
        <v>160110.99196468547</v>
      </c>
      <c r="I82" s="187">
        <v>195300.36955333367</v>
      </c>
      <c r="J82" s="187">
        <v>264858.56416359427</v>
      </c>
      <c r="K82" s="187">
        <f t="shared" ref="K82:O82" si="15">SUM(K75:K81)</f>
        <v>1022420.2067047005</v>
      </c>
      <c r="L82" s="187">
        <f t="shared" si="15"/>
        <v>0</v>
      </c>
      <c r="M82" s="187">
        <f t="shared" si="15"/>
        <v>0</v>
      </c>
      <c r="N82" s="187">
        <f t="shared" si="15"/>
        <v>0</v>
      </c>
      <c r="O82" s="187">
        <f t="shared" si="15"/>
        <v>0</v>
      </c>
      <c r="P82" s="187">
        <f t="shared" si="9"/>
        <v>2400949.2790009426</v>
      </c>
      <c r="Q82" s="181"/>
    </row>
    <row r="83" spans="1:18" x14ac:dyDescent="0.25">
      <c r="A83" s="182"/>
      <c r="B83" s="209"/>
      <c r="C83" s="182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4"/>
      <c r="Q83" s="185"/>
    </row>
    <row r="84" spans="1:18" x14ac:dyDescent="0.25">
      <c r="A84" s="152">
        <v>4310104</v>
      </c>
      <c r="B84" s="191" t="s">
        <v>233</v>
      </c>
      <c r="C84" s="192" t="s">
        <v>246</v>
      </c>
      <c r="D84" s="177">
        <v>45292</v>
      </c>
      <c r="E84" s="177">
        <v>45323</v>
      </c>
      <c r="F84" s="177">
        <v>45352</v>
      </c>
      <c r="G84" s="177">
        <v>45383</v>
      </c>
      <c r="H84" s="177">
        <v>45413</v>
      </c>
      <c r="I84" s="177">
        <v>45444</v>
      </c>
      <c r="J84" s="177">
        <v>45474</v>
      </c>
      <c r="K84" s="177">
        <v>45505</v>
      </c>
      <c r="L84" s="177">
        <v>45536</v>
      </c>
      <c r="M84" s="177">
        <v>45566</v>
      </c>
      <c r="N84" s="177">
        <v>45597</v>
      </c>
      <c r="O84" s="177">
        <v>45627</v>
      </c>
      <c r="P84" s="178" t="s">
        <v>235</v>
      </c>
      <c r="Q84" s="185"/>
    </row>
    <row r="85" spans="1:18" s="201" customFormat="1" x14ac:dyDescent="0.25">
      <c r="A85" s="199" t="s">
        <v>247</v>
      </c>
      <c r="B85" s="210">
        <f>+'estruturas MODELOS'!F172</f>
        <v>1.8199912500000002</v>
      </c>
      <c r="C85" s="198" t="s">
        <v>162</v>
      </c>
      <c r="D85" s="186">
        <v>0</v>
      </c>
      <c r="E85" s="186">
        <v>0</v>
      </c>
      <c r="F85" s="186">
        <v>0</v>
      </c>
      <c r="G85" s="186">
        <v>0</v>
      </c>
      <c r="H85" s="186">
        <v>0</v>
      </c>
      <c r="I85" s="186">
        <v>0</v>
      </c>
      <c r="J85" s="186">
        <v>0</v>
      </c>
      <c r="K85" s="186">
        <v>0</v>
      </c>
      <c r="L85" s="186">
        <v>0</v>
      </c>
      <c r="M85" s="186">
        <v>0</v>
      </c>
      <c r="N85" s="186">
        <v>0</v>
      </c>
      <c r="O85" s="186">
        <v>0</v>
      </c>
      <c r="P85" s="187">
        <f t="shared" si="2"/>
        <v>0</v>
      </c>
      <c r="Q85" s="200"/>
    </row>
    <row r="86" spans="1:18" s="201" customFormat="1" x14ac:dyDescent="0.25">
      <c r="A86" s="199" t="s">
        <v>248</v>
      </c>
      <c r="B86" s="211"/>
      <c r="C86" s="198" t="s">
        <v>166</v>
      </c>
      <c r="D86" s="186">
        <v>0</v>
      </c>
      <c r="E86" s="186">
        <v>0</v>
      </c>
      <c r="F86" s="186">
        <v>0</v>
      </c>
      <c r="G86" s="186">
        <v>0</v>
      </c>
      <c r="H86" s="186">
        <v>0</v>
      </c>
      <c r="I86" s="186">
        <v>0</v>
      </c>
      <c r="J86" s="186">
        <v>0</v>
      </c>
      <c r="K86" s="186">
        <v>0</v>
      </c>
      <c r="L86" s="186">
        <v>0</v>
      </c>
      <c r="M86" s="186">
        <v>0</v>
      </c>
      <c r="N86" s="186">
        <v>0</v>
      </c>
      <c r="O86" s="186">
        <v>0</v>
      </c>
      <c r="P86" s="187">
        <f t="shared" si="2"/>
        <v>0</v>
      </c>
      <c r="Q86" s="200"/>
    </row>
    <row r="87" spans="1:18" s="202" customFormat="1" x14ac:dyDescent="0.25">
      <c r="B87" s="212"/>
      <c r="C87" s="201"/>
      <c r="D87" s="187">
        <v>0</v>
      </c>
      <c r="E87" s="187">
        <v>0</v>
      </c>
      <c r="F87" s="187">
        <v>0</v>
      </c>
      <c r="G87" s="187">
        <v>0</v>
      </c>
      <c r="H87" s="187">
        <v>0</v>
      </c>
      <c r="I87" s="187">
        <v>0</v>
      </c>
      <c r="J87" s="187">
        <v>0</v>
      </c>
      <c r="K87" s="187">
        <f t="shared" ref="K87:O87" si="16">SUM(K85:K86)</f>
        <v>0</v>
      </c>
      <c r="L87" s="187">
        <f t="shared" si="16"/>
        <v>0</v>
      </c>
      <c r="M87" s="187">
        <f t="shared" si="16"/>
        <v>0</v>
      </c>
      <c r="N87" s="187">
        <f t="shared" si="16"/>
        <v>0</v>
      </c>
      <c r="O87" s="187">
        <f t="shared" si="16"/>
        <v>0</v>
      </c>
      <c r="P87" s="187">
        <f t="shared" si="2"/>
        <v>0</v>
      </c>
      <c r="Q87" s="203"/>
    </row>
    <row r="88" spans="1:18" s="201" customFormat="1" x14ac:dyDescent="0.25">
      <c r="B88" s="213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0"/>
    </row>
    <row r="89" spans="1:18" s="201" customFormat="1" x14ac:dyDescent="0.25">
      <c r="B89" s="21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4"/>
      <c r="Q89" s="200"/>
    </row>
    <row r="90" spans="1:18" s="201" customFormat="1" x14ac:dyDescent="0.25">
      <c r="B90" s="213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6"/>
      <c r="Q90" s="200"/>
    </row>
    <row r="91" spans="1:18" x14ac:dyDescent="0.25"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76"/>
    </row>
    <row r="92" spans="1:18" ht="15.75" thickBot="1" x14ac:dyDescent="0.3">
      <c r="D92" s="188" t="s">
        <v>249</v>
      </c>
      <c r="E92" s="188" t="s">
        <v>250</v>
      </c>
      <c r="F92" s="188" t="s">
        <v>251</v>
      </c>
      <c r="G92" s="188" t="s">
        <v>252</v>
      </c>
      <c r="H92" s="188" t="s">
        <v>253</v>
      </c>
      <c r="I92" s="188" t="s">
        <v>254</v>
      </c>
      <c r="J92" s="188" t="s">
        <v>255</v>
      </c>
      <c r="K92" s="188" t="s">
        <v>256</v>
      </c>
      <c r="L92" s="188"/>
      <c r="M92" s="188"/>
      <c r="N92" s="188"/>
      <c r="O92" s="188"/>
      <c r="P92" s="188"/>
    </row>
    <row r="93" spans="1:18" s="190" customFormat="1" ht="15.75" thickBot="1" x14ac:dyDescent="0.3">
      <c r="A93" s="242" t="s">
        <v>257</v>
      </c>
      <c r="B93" s="243" t="s">
        <v>258</v>
      </c>
      <c r="C93" s="244" t="s">
        <v>259</v>
      </c>
      <c r="D93" s="238">
        <v>45292</v>
      </c>
      <c r="E93" s="239">
        <v>45323</v>
      </c>
      <c r="F93" s="239">
        <v>45352</v>
      </c>
      <c r="G93" s="239">
        <v>45383</v>
      </c>
      <c r="H93" s="239">
        <v>45413</v>
      </c>
      <c r="I93" s="239">
        <v>45444</v>
      </c>
      <c r="J93" s="240">
        <v>45474</v>
      </c>
      <c r="K93" s="240">
        <v>45505</v>
      </c>
      <c r="L93" s="240">
        <v>45536</v>
      </c>
      <c r="M93" s="240">
        <v>45566</v>
      </c>
      <c r="N93" s="240">
        <v>45597</v>
      </c>
      <c r="O93" s="240">
        <v>45627</v>
      </c>
      <c r="P93" s="241" t="s">
        <v>235</v>
      </c>
    </row>
    <row r="94" spans="1:18" s="190" customFormat="1" x14ac:dyDescent="0.25">
      <c r="A94" s="227" t="s">
        <v>260</v>
      </c>
      <c r="B94" s="149" t="s">
        <v>261</v>
      </c>
      <c r="C94" s="234" t="s">
        <v>262</v>
      </c>
      <c r="D94" s="230">
        <f>SUM(D95:D98)</f>
        <v>3911077.4065470854</v>
      </c>
      <c r="E94" s="150">
        <f t="shared" ref="E94:I94" si="17">SUM(E95:E98)</f>
        <v>4167122.2190885749</v>
      </c>
      <c r="F94" s="150">
        <f t="shared" si="17"/>
        <v>3669657.4959331676</v>
      </c>
      <c r="G94" s="150">
        <f t="shared" si="17"/>
        <v>2681982.7812357568</v>
      </c>
      <c r="H94" s="150">
        <f t="shared" si="17"/>
        <v>2657611.1304682842</v>
      </c>
      <c r="I94" s="150">
        <f t="shared" si="17"/>
        <v>3458154.183230516</v>
      </c>
      <c r="J94" s="150">
        <f>SUM(J95:J98)</f>
        <v>3224661.5450057751</v>
      </c>
      <c r="K94" s="150">
        <f>SUM(K95:K98)</f>
        <v>5051081.0287290094</v>
      </c>
      <c r="L94" s="150">
        <f t="shared" ref="L94:N94" si="18">SUM(L95:L98)</f>
        <v>0</v>
      </c>
      <c r="M94" s="150">
        <f t="shared" si="18"/>
        <v>0</v>
      </c>
      <c r="N94" s="150">
        <f t="shared" si="18"/>
        <v>0</v>
      </c>
      <c r="O94" s="150">
        <f>SUM(O95:O98)</f>
        <v>0</v>
      </c>
      <c r="P94" s="151">
        <f>SUM(P95:P98)</f>
        <v>28821347.790238168</v>
      </c>
      <c r="R94" s="249"/>
    </row>
    <row r="95" spans="1:18" s="190" customFormat="1" x14ac:dyDescent="0.25">
      <c r="A95" s="228">
        <v>4310102</v>
      </c>
      <c r="B95" s="152">
        <v>1133102</v>
      </c>
      <c r="C95" s="235" t="s">
        <v>234</v>
      </c>
      <c r="D95" s="231">
        <f t="shared" ref="D95:O95" si="19">+D72</f>
        <v>3514881.4231794248</v>
      </c>
      <c r="E95" s="153">
        <f t="shared" si="19"/>
        <v>3777976.1369226263</v>
      </c>
      <c r="F95" s="153">
        <f t="shared" si="19"/>
        <v>3311374.8421152239</v>
      </c>
      <c r="G95" s="153">
        <f t="shared" si="19"/>
        <v>2416320.6989160166</v>
      </c>
      <c r="H95" s="153">
        <f t="shared" si="19"/>
        <v>2378571.5604796181</v>
      </c>
      <c r="I95" s="153">
        <f t="shared" si="19"/>
        <v>3107479.8225496975</v>
      </c>
      <c r="J95" s="153">
        <f t="shared" si="19"/>
        <v>2818859.981754458</v>
      </c>
      <c r="K95" s="153">
        <f t="shared" si="19"/>
        <v>3836819.8304993412</v>
      </c>
      <c r="L95" s="153">
        <f t="shared" si="19"/>
        <v>0</v>
      </c>
      <c r="M95" s="153">
        <f t="shared" si="19"/>
        <v>0</v>
      </c>
      <c r="N95" s="153">
        <f t="shared" si="19"/>
        <v>0</v>
      </c>
      <c r="O95" s="153">
        <f t="shared" si="19"/>
        <v>0</v>
      </c>
      <c r="P95" s="148">
        <f t="shared" ref="P95:P98" si="20">SUM(D95:O95)</f>
        <v>25162284.296416406</v>
      </c>
    </row>
    <row r="96" spans="1:18" s="190" customFormat="1" x14ac:dyDescent="0.25">
      <c r="A96" s="228">
        <v>4310103</v>
      </c>
      <c r="B96" s="152">
        <v>1133102</v>
      </c>
      <c r="C96" s="236" t="s">
        <v>244</v>
      </c>
      <c r="D96" s="232">
        <f t="shared" ref="D96:O96" si="21">+D82</f>
        <v>220451.91220868958</v>
      </c>
      <c r="E96" s="154">
        <f t="shared" si="21"/>
        <v>200247.27531981721</v>
      </c>
      <c r="F96" s="154">
        <f t="shared" si="21"/>
        <v>192713.91171218263</v>
      </c>
      <c r="G96" s="154">
        <f t="shared" si="21"/>
        <v>144846.04737393919</v>
      </c>
      <c r="H96" s="154">
        <f t="shared" si="21"/>
        <v>160110.99196468547</v>
      </c>
      <c r="I96" s="154">
        <f t="shared" si="21"/>
        <v>195300.36955333367</v>
      </c>
      <c r="J96" s="154">
        <f t="shared" si="21"/>
        <v>264858.56416359427</v>
      </c>
      <c r="K96" s="154">
        <f t="shared" si="21"/>
        <v>1022420.2067047005</v>
      </c>
      <c r="L96" s="154">
        <f t="shared" si="21"/>
        <v>0</v>
      </c>
      <c r="M96" s="154">
        <f t="shared" si="21"/>
        <v>0</v>
      </c>
      <c r="N96" s="154">
        <f t="shared" si="21"/>
        <v>0</v>
      </c>
      <c r="O96" s="154">
        <f t="shared" si="21"/>
        <v>0</v>
      </c>
      <c r="P96" s="155">
        <f t="shared" si="20"/>
        <v>2400949.2790009426</v>
      </c>
    </row>
    <row r="97" spans="1:16" s="190" customFormat="1" x14ac:dyDescent="0.25">
      <c r="A97" s="228">
        <v>4310104</v>
      </c>
      <c r="B97" s="152" t="s">
        <v>263</v>
      </c>
      <c r="C97" s="235" t="s">
        <v>246</v>
      </c>
      <c r="D97" s="231">
        <f t="shared" ref="D97:O97" si="22">+D87</f>
        <v>0</v>
      </c>
      <c r="E97" s="153">
        <f t="shared" si="22"/>
        <v>0</v>
      </c>
      <c r="F97" s="153">
        <f t="shared" si="22"/>
        <v>0</v>
      </c>
      <c r="G97" s="153">
        <f t="shared" si="22"/>
        <v>0</v>
      </c>
      <c r="H97" s="153">
        <f t="shared" si="22"/>
        <v>0</v>
      </c>
      <c r="I97" s="153">
        <f t="shared" si="22"/>
        <v>0</v>
      </c>
      <c r="J97" s="153">
        <f t="shared" si="22"/>
        <v>0</v>
      </c>
      <c r="K97" s="153">
        <f t="shared" si="22"/>
        <v>0</v>
      </c>
      <c r="L97" s="153">
        <f t="shared" si="22"/>
        <v>0</v>
      </c>
      <c r="M97" s="153">
        <f t="shared" si="22"/>
        <v>0</v>
      </c>
      <c r="N97" s="153">
        <f t="shared" si="22"/>
        <v>0</v>
      </c>
      <c r="O97" s="153">
        <f t="shared" si="22"/>
        <v>0</v>
      </c>
      <c r="P97" s="148">
        <f t="shared" si="20"/>
        <v>0</v>
      </c>
    </row>
    <row r="98" spans="1:16" s="190" customFormat="1" ht="15.75" thickBot="1" x14ac:dyDescent="0.3">
      <c r="A98" s="229">
        <v>4310105</v>
      </c>
      <c r="B98" s="156">
        <v>1133102</v>
      </c>
      <c r="C98" s="237" t="s">
        <v>264</v>
      </c>
      <c r="D98" s="233">
        <f>+D72*0.05</f>
        <v>175744.07115897126</v>
      </c>
      <c r="E98" s="233">
        <f t="shared" ref="E98:O98" si="23">+E72*0.05</f>
        <v>188898.80684613134</v>
      </c>
      <c r="F98" s="233">
        <f t="shared" si="23"/>
        <v>165568.74210576119</v>
      </c>
      <c r="G98" s="233">
        <f t="shared" si="23"/>
        <v>120816.03494580084</v>
      </c>
      <c r="H98" s="233">
        <f t="shared" si="23"/>
        <v>118928.57802398091</v>
      </c>
      <c r="I98" s="233">
        <f t="shared" si="23"/>
        <v>155373.99112748489</v>
      </c>
      <c r="J98" s="233">
        <f t="shared" si="23"/>
        <v>140942.99908772291</v>
      </c>
      <c r="K98" s="233">
        <f t="shared" si="23"/>
        <v>191840.99152496707</v>
      </c>
      <c r="L98" s="233">
        <f t="shared" si="23"/>
        <v>0</v>
      </c>
      <c r="M98" s="233">
        <f t="shared" si="23"/>
        <v>0</v>
      </c>
      <c r="N98" s="233">
        <f t="shared" si="23"/>
        <v>0</v>
      </c>
      <c r="O98" s="233">
        <f t="shared" si="23"/>
        <v>0</v>
      </c>
      <c r="P98" s="157">
        <f t="shared" si="20"/>
        <v>1258114.2148208206</v>
      </c>
    </row>
    <row r="99" spans="1:16" s="190" customFormat="1" x14ac:dyDescent="0.25"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</row>
    <row r="100" spans="1:16" s="190" customFormat="1" x14ac:dyDescent="0.25"/>
    <row r="101" spans="1:16" s="189" customFormat="1" x14ac:dyDescent="0.25">
      <c r="C101" s="189" t="s">
        <v>265</v>
      </c>
      <c r="D101" s="189">
        <v>6251266.96</v>
      </c>
      <c r="E101" s="189">
        <v>5886817.9400000004</v>
      </c>
      <c r="F101" s="189">
        <v>5970128.8799999999</v>
      </c>
      <c r="G101" s="189">
        <v>4421907.5599999996</v>
      </c>
      <c r="H101" s="189">
        <v>4193423.44</v>
      </c>
      <c r="I101" s="189">
        <v>4030298.68</v>
      </c>
      <c r="P101" s="189">
        <f>SUM(D101:O101)</f>
        <v>30753843.460000001</v>
      </c>
    </row>
    <row r="102" spans="1:16" s="190" customFormat="1" x14ac:dyDescent="0.25">
      <c r="C102" s="190" t="s">
        <v>266</v>
      </c>
      <c r="D102" s="195">
        <f>+D94/D101</f>
        <v>0.62564555818411016</v>
      </c>
      <c r="E102" s="195">
        <f t="shared" ref="E102:I102" si="24">+E94/E101</f>
        <v>0.70787346603224055</v>
      </c>
      <c r="F102" s="195">
        <f t="shared" si="24"/>
        <v>0.61466972819071997</v>
      </c>
      <c r="G102" s="195">
        <f t="shared" si="24"/>
        <v>0.60652167528254641</v>
      </c>
      <c r="H102" s="195">
        <f t="shared" si="24"/>
        <v>0.63375692164020625</v>
      </c>
      <c r="I102" s="195">
        <f t="shared" si="24"/>
        <v>0.85803918215572939</v>
      </c>
      <c r="J102" s="195"/>
      <c r="P102" s="195">
        <f>+P94/P101</f>
        <v>0.9371624664645466</v>
      </c>
    </row>
    <row r="103" spans="1:16" s="190" customFormat="1" x14ac:dyDescent="0.25">
      <c r="C103" s="194"/>
      <c r="E103" s="195"/>
    </row>
    <row r="104" spans="1:16" s="190" customFormat="1" x14ac:dyDescent="0.25">
      <c r="C104" s="190" t="s">
        <v>265</v>
      </c>
      <c r="D104" s="189">
        <v>6251266.96</v>
      </c>
      <c r="E104" s="189">
        <v>6782691.54</v>
      </c>
      <c r="F104" s="189">
        <v>5970538.8799999999</v>
      </c>
      <c r="G104" s="189">
        <v>4421907.5599999996</v>
      </c>
      <c r="H104" s="189">
        <v>4194473.4400000004</v>
      </c>
      <c r="I104" s="189">
        <v>4030298.6799999997</v>
      </c>
    </row>
    <row r="105" spans="1:16" s="190" customFormat="1" x14ac:dyDescent="0.25">
      <c r="C105" s="174">
        <v>1133003</v>
      </c>
      <c r="D105" s="195">
        <f t="shared" ref="D105:I105" si="25">+D104-D101</f>
        <v>0</v>
      </c>
      <c r="E105" s="221">
        <f t="shared" si="25"/>
        <v>895873.59999999963</v>
      </c>
      <c r="F105" s="221">
        <f t="shared" si="25"/>
        <v>410</v>
      </c>
      <c r="G105" s="195">
        <f t="shared" si="25"/>
        <v>0</v>
      </c>
      <c r="H105" s="221">
        <f t="shared" si="25"/>
        <v>1050.0000000004657</v>
      </c>
      <c r="I105" s="195">
        <f t="shared" si="25"/>
        <v>0</v>
      </c>
    </row>
    <row r="109" spans="1:16" x14ac:dyDescent="0.25">
      <c r="E109" s="174" t="s">
        <v>267</v>
      </c>
    </row>
    <row r="110" spans="1:16" x14ac:dyDescent="0.25">
      <c r="C110" s="222" t="s">
        <v>119</v>
      </c>
      <c r="E110" s="174" t="s">
        <v>268</v>
      </c>
      <c r="F110" s="223"/>
    </row>
    <row r="111" spans="1:16" x14ac:dyDescent="0.25">
      <c r="B111" s="226" t="s">
        <v>87</v>
      </c>
      <c r="C111" s="174">
        <v>1133001</v>
      </c>
      <c r="D111" s="189"/>
      <c r="E111" s="189"/>
      <c r="F111" s="189"/>
      <c r="G111" s="189"/>
      <c r="H111" s="189"/>
      <c r="I111" s="189"/>
      <c r="J111" s="189"/>
      <c r="K111" s="189"/>
    </row>
    <row r="112" spans="1:16" x14ac:dyDescent="0.25">
      <c r="B112" s="226" t="s">
        <v>269</v>
      </c>
      <c r="C112" s="174">
        <v>1133003</v>
      </c>
      <c r="D112" s="189">
        <v>1</v>
      </c>
      <c r="E112" s="189"/>
      <c r="F112" s="189"/>
      <c r="G112" s="189"/>
      <c r="H112" s="189"/>
      <c r="I112" s="189"/>
      <c r="J112" s="189"/>
      <c r="K112" s="189"/>
    </row>
    <row r="113" spans="2:11" x14ac:dyDescent="0.25">
      <c r="B113" s="226"/>
      <c r="C113" s="222" t="s">
        <v>270</v>
      </c>
      <c r="D113" s="189"/>
      <c r="E113" s="189"/>
      <c r="F113" s="189"/>
      <c r="G113" s="189"/>
      <c r="H113" s="189"/>
      <c r="I113" s="189"/>
      <c r="J113" s="189"/>
      <c r="K113" s="189"/>
    </row>
    <row r="114" spans="2:11" x14ac:dyDescent="0.25">
      <c r="B114" s="226" t="s">
        <v>271</v>
      </c>
      <c r="C114" s="174">
        <v>1134001</v>
      </c>
      <c r="D114" s="189"/>
      <c r="E114" s="189"/>
      <c r="F114" s="189"/>
      <c r="G114" s="189"/>
      <c r="H114" s="189"/>
      <c r="I114" s="189"/>
      <c r="J114" s="189"/>
      <c r="K114" s="189"/>
    </row>
    <row r="115" spans="2:11" x14ac:dyDescent="0.25">
      <c r="B115" s="226" t="s">
        <v>272</v>
      </c>
      <c r="C115" s="174">
        <v>1134002</v>
      </c>
      <c r="D115" s="189"/>
      <c r="E115" s="189"/>
      <c r="F115" s="189"/>
      <c r="G115" s="189"/>
      <c r="H115" s="189"/>
      <c r="I115" s="189"/>
      <c r="J115" s="189"/>
      <c r="K115" s="189"/>
    </row>
    <row r="116" spans="2:11" x14ac:dyDescent="0.25">
      <c r="B116" s="226" t="s">
        <v>269</v>
      </c>
      <c r="C116" s="174">
        <v>1134003</v>
      </c>
      <c r="D116" s="189"/>
      <c r="E116" s="189"/>
      <c r="F116" s="189"/>
      <c r="G116" s="189"/>
      <c r="H116" s="189"/>
      <c r="I116" s="189"/>
      <c r="J116" s="189"/>
      <c r="K116" s="189"/>
    </row>
    <row r="117" spans="2:11" x14ac:dyDescent="0.25">
      <c r="B117" s="226"/>
      <c r="D117" s="189"/>
      <c r="E117" s="189"/>
      <c r="F117" s="189"/>
      <c r="G117" s="189"/>
      <c r="H117" s="189"/>
      <c r="I117" s="189"/>
      <c r="J117" s="189"/>
      <c r="K117" s="189"/>
    </row>
    <row r="118" spans="2:11" x14ac:dyDescent="0.25">
      <c r="B118" s="226"/>
      <c r="D118" s="224">
        <f>SUM(D111:D117)</f>
        <v>1</v>
      </c>
      <c r="E118" s="224">
        <f>SUM(E111:E117)</f>
        <v>0</v>
      </c>
      <c r="F118" s="189"/>
      <c r="G118" s="189"/>
      <c r="H118" s="189"/>
      <c r="I118" s="189"/>
      <c r="J118" s="189"/>
      <c r="K118" s="189"/>
    </row>
    <row r="119" spans="2:11" x14ac:dyDescent="0.25">
      <c r="B119" s="226"/>
    </row>
    <row r="120" spans="2:11" x14ac:dyDescent="0.25">
      <c r="B120" s="226"/>
      <c r="C120" s="245" t="s">
        <v>273</v>
      </c>
      <c r="D120" s="225"/>
    </row>
    <row r="121" spans="2:11" x14ac:dyDescent="0.25">
      <c r="B121" s="226" t="s">
        <v>274</v>
      </c>
      <c r="C121" s="174">
        <v>1133102</v>
      </c>
      <c r="D121" s="225"/>
      <c r="E121" s="189"/>
      <c r="F121" s="189"/>
    </row>
    <row r="122" spans="2:11" x14ac:dyDescent="0.25">
      <c r="D122" s="223"/>
      <c r="E122" s="189"/>
      <c r="F122" s="189"/>
    </row>
    <row r="123" spans="2:11" x14ac:dyDescent="0.25">
      <c r="D123" s="223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6696-ADEB-4DC6-B910-53BC7A507C47}">
  <dimension ref="A1:J32"/>
  <sheetViews>
    <sheetView tabSelected="1" workbookViewId="0"/>
  </sheetViews>
  <sheetFormatPr defaultRowHeight="15" x14ac:dyDescent="0.25"/>
  <cols>
    <col min="2" max="2" width="42" customWidth="1"/>
    <col min="3" max="3" width="10.42578125" customWidth="1"/>
    <col min="6" max="6" width="12.7109375" bestFit="1" customWidth="1"/>
    <col min="8" max="8" width="36.140625" customWidth="1"/>
  </cols>
  <sheetData>
    <row r="1" spans="1:10" x14ac:dyDescent="0.25">
      <c r="A1" s="250" t="s">
        <v>199</v>
      </c>
      <c r="B1" s="250" t="s">
        <v>275</v>
      </c>
      <c r="C1" s="250" t="s">
        <v>276</v>
      </c>
      <c r="D1" s="250"/>
      <c r="E1" s="250" t="s">
        <v>298</v>
      </c>
      <c r="G1" s="257" t="s">
        <v>277</v>
      </c>
      <c r="H1" s="257"/>
      <c r="I1" s="257"/>
      <c r="J1" s="257"/>
    </row>
    <row r="2" spans="1:10" x14ac:dyDescent="0.25">
      <c r="A2" s="251" t="s">
        <v>89</v>
      </c>
      <c r="B2" s="252" t="s">
        <v>110</v>
      </c>
      <c r="C2" s="252" t="s">
        <v>278</v>
      </c>
      <c r="D2" s="254">
        <v>5</v>
      </c>
      <c r="E2">
        <f>(8.02*37%)*D2</f>
        <v>14.836999999999998</v>
      </c>
      <c r="F2" t="s">
        <v>279</v>
      </c>
      <c r="G2" s="251" t="s">
        <v>93</v>
      </c>
      <c r="H2" s="252" t="s">
        <v>94</v>
      </c>
      <c r="I2" s="252" t="s">
        <v>278</v>
      </c>
      <c r="J2" s="254">
        <v>12</v>
      </c>
    </row>
    <row r="3" spans="1:10" x14ac:dyDescent="0.25">
      <c r="A3" s="251" t="s">
        <v>13</v>
      </c>
      <c r="B3" s="252" t="s">
        <v>14</v>
      </c>
      <c r="C3" s="252" t="s">
        <v>112</v>
      </c>
      <c r="D3" s="254">
        <v>1</v>
      </c>
      <c r="E3">
        <v>5.35</v>
      </c>
      <c r="G3" s="251" t="s">
        <v>46</v>
      </c>
      <c r="H3" s="252" t="s">
        <v>47</v>
      </c>
      <c r="I3" s="252" t="s">
        <v>114</v>
      </c>
      <c r="J3" s="254" t="s">
        <v>280</v>
      </c>
    </row>
    <row r="4" spans="1:10" x14ac:dyDescent="0.25">
      <c r="A4" s="251" t="s">
        <v>43</v>
      </c>
      <c r="B4" s="252" t="s">
        <v>44</v>
      </c>
      <c r="C4" s="252" t="s">
        <v>113</v>
      </c>
      <c r="D4" s="254">
        <v>3</v>
      </c>
      <c r="E4">
        <f>D4*0.06</f>
        <v>0.18</v>
      </c>
      <c r="F4" t="s">
        <v>279</v>
      </c>
      <c r="G4" s="251"/>
      <c r="H4" s="252" t="s">
        <v>281</v>
      </c>
      <c r="I4" s="252" t="s">
        <v>112</v>
      </c>
      <c r="J4" s="254">
        <v>1</v>
      </c>
    </row>
    <row r="5" spans="1:10" x14ac:dyDescent="0.25">
      <c r="A5" s="251" t="s">
        <v>46</v>
      </c>
      <c r="B5" s="252" t="s">
        <v>47</v>
      </c>
      <c r="C5" s="252" t="s">
        <v>114</v>
      </c>
      <c r="D5" s="254" t="s">
        <v>280</v>
      </c>
      <c r="E5">
        <f>D5*0.003</f>
        <v>5.1000000000000004E-4</v>
      </c>
      <c r="F5" t="s">
        <v>279</v>
      </c>
      <c r="G5" s="251" t="s">
        <v>68</v>
      </c>
      <c r="H5" s="252" t="s">
        <v>69</v>
      </c>
      <c r="I5" s="252" t="s">
        <v>112</v>
      </c>
      <c r="J5" s="254">
        <v>1</v>
      </c>
    </row>
    <row r="6" spans="1:10" x14ac:dyDescent="0.25">
      <c r="A6" s="251" t="s">
        <v>52</v>
      </c>
      <c r="B6" s="252" t="s">
        <v>282</v>
      </c>
      <c r="C6" s="252" t="s">
        <v>114</v>
      </c>
      <c r="D6" s="254" t="s">
        <v>283</v>
      </c>
      <c r="E6">
        <f>D6*0.057</f>
        <v>7.1250000000000008E-2</v>
      </c>
      <c r="F6" t="s">
        <v>279</v>
      </c>
      <c r="G6" t="s">
        <v>279</v>
      </c>
      <c r="H6" t="s">
        <v>279</v>
      </c>
    </row>
    <row r="7" spans="1:10" x14ac:dyDescent="0.25">
      <c r="A7" s="251"/>
      <c r="B7" s="252" t="s">
        <v>281</v>
      </c>
      <c r="C7" s="252" t="s">
        <v>112</v>
      </c>
      <c r="D7" s="254">
        <v>1</v>
      </c>
      <c r="E7">
        <f>D7*0.1863</f>
        <v>0.18629999999999999</v>
      </c>
      <c r="F7" t="s">
        <v>279</v>
      </c>
      <c r="G7" t="s">
        <v>279</v>
      </c>
      <c r="H7" t="s">
        <v>279</v>
      </c>
    </row>
    <row r="8" spans="1:10" x14ac:dyDescent="0.25">
      <c r="A8" s="251" t="s">
        <v>60</v>
      </c>
      <c r="B8" s="252" t="s">
        <v>61</v>
      </c>
      <c r="C8" s="252" t="s">
        <v>112</v>
      </c>
      <c r="D8" s="254">
        <v>3</v>
      </c>
      <c r="E8">
        <f>D8*0.072</f>
        <v>0.21599999999999997</v>
      </c>
      <c r="F8" t="s">
        <v>279</v>
      </c>
      <c r="G8" s="257" t="s">
        <v>284</v>
      </c>
      <c r="H8" s="257"/>
      <c r="I8" s="257"/>
      <c r="J8" s="257"/>
    </row>
    <row r="9" spans="1:10" x14ac:dyDescent="0.25">
      <c r="A9" s="253"/>
      <c r="B9" s="252" t="s">
        <v>285</v>
      </c>
      <c r="C9" s="252" t="s">
        <v>113</v>
      </c>
      <c r="D9" s="254">
        <v>1</v>
      </c>
      <c r="E9">
        <f>D9*0.074</f>
        <v>7.3999999999999996E-2</v>
      </c>
      <c r="F9" t="s">
        <v>279</v>
      </c>
      <c r="G9" s="251" t="s">
        <v>93</v>
      </c>
      <c r="H9" s="252" t="s">
        <v>94</v>
      </c>
      <c r="I9" s="252" t="s">
        <v>278</v>
      </c>
      <c r="J9" s="254">
        <v>12</v>
      </c>
    </row>
    <row r="10" spans="1:10" x14ac:dyDescent="0.25">
      <c r="A10" s="252"/>
      <c r="B10" s="252" t="s">
        <v>286</v>
      </c>
      <c r="C10" s="252" t="s">
        <v>170</v>
      </c>
      <c r="D10" s="254" t="s">
        <v>287</v>
      </c>
      <c r="E10">
        <f>D10*0.0002</f>
        <v>3.4999999999999997E-5</v>
      </c>
      <c r="G10" s="251" t="s">
        <v>46</v>
      </c>
      <c r="H10" s="252" t="s">
        <v>47</v>
      </c>
      <c r="I10" s="252" t="s">
        <v>114</v>
      </c>
      <c r="J10" s="254" t="s">
        <v>280</v>
      </c>
    </row>
    <row r="11" spans="1:10" x14ac:dyDescent="0.25">
      <c r="E11">
        <f>SUM(E2:E10)</f>
        <v>20.915094999999997</v>
      </c>
      <c r="F11" s="256">
        <f>(161880/5)*E11</f>
        <v>677147.11571999989</v>
      </c>
      <c r="G11" s="251"/>
      <c r="H11" s="252" t="s">
        <v>281</v>
      </c>
      <c r="I11" s="252" t="s">
        <v>112</v>
      </c>
      <c r="J11" s="254">
        <v>1</v>
      </c>
    </row>
    <row r="12" spans="1:10" x14ac:dyDescent="0.25">
      <c r="A12" s="250" t="s">
        <v>199</v>
      </c>
      <c r="B12" s="250" t="s">
        <v>288</v>
      </c>
      <c r="C12" s="250" t="s">
        <v>276</v>
      </c>
      <c r="D12" s="250"/>
      <c r="G12" s="251" t="s">
        <v>68</v>
      </c>
      <c r="H12" s="252" t="s">
        <v>69</v>
      </c>
      <c r="I12" s="252" t="s">
        <v>112</v>
      </c>
      <c r="J12" s="254">
        <v>1</v>
      </c>
    </row>
    <row r="13" spans="1:10" x14ac:dyDescent="0.25">
      <c r="A13" s="251" t="s">
        <v>89</v>
      </c>
      <c r="B13" s="252" t="s">
        <v>110</v>
      </c>
      <c r="C13" s="252" t="s">
        <v>278</v>
      </c>
      <c r="D13" s="254">
        <v>30</v>
      </c>
    </row>
    <row r="14" spans="1:10" x14ac:dyDescent="0.25">
      <c r="A14" s="251" t="s">
        <v>37</v>
      </c>
      <c r="B14" s="252" t="s">
        <v>38</v>
      </c>
      <c r="C14" s="252" t="s">
        <v>112</v>
      </c>
      <c r="D14" s="254">
        <v>1</v>
      </c>
      <c r="H14" t="s">
        <v>279</v>
      </c>
    </row>
    <row r="15" spans="1:10" x14ac:dyDescent="0.25">
      <c r="A15" s="251" t="s">
        <v>74</v>
      </c>
      <c r="B15" s="252" t="s">
        <v>130</v>
      </c>
      <c r="C15" s="252" t="s">
        <v>112</v>
      </c>
      <c r="D15" s="254">
        <v>6</v>
      </c>
      <c r="G15" s="257" t="s">
        <v>289</v>
      </c>
      <c r="H15" s="257"/>
      <c r="I15" s="257"/>
      <c r="J15" s="257"/>
    </row>
    <row r="16" spans="1:10" x14ac:dyDescent="0.25">
      <c r="A16" s="251" t="s">
        <v>46</v>
      </c>
      <c r="B16" s="252" t="s">
        <v>47</v>
      </c>
      <c r="C16" s="252" t="s">
        <v>114</v>
      </c>
      <c r="D16" s="254" t="s">
        <v>290</v>
      </c>
      <c r="G16" s="251" t="s">
        <v>93</v>
      </c>
      <c r="H16" s="252" t="s">
        <v>94</v>
      </c>
      <c r="I16" s="252" t="s">
        <v>278</v>
      </c>
      <c r="J16" s="254">
        <v>12</v>
      </c>
    </row>
    <row r="17" spans="1:10" x14ac:dyDescent="0.25">
      <c r="A17" s="251" t="s">
        <v>64</v>
      </c>
      <c r="B17" s="252" t="s">
        <v>65</v>
      </c>
      <c r="C17" s="252" t="s">
        <v>114</v>
      </c>
      <c r="D17" s="254" t="s">
        <v>291</v>
      </c>
      <c r="G17" s="251" t="s">
        <v>46</v>
      </c>
      <c r="H17" s="252" t="s">
        <v>47</v>
      </c>
      <c r="I17" s="252" t="s">
        <v>114</v>
      </c>
      <c r="J17" s="254" t="s">
        <v>280</v>
      </c>
    </row>
    <row r="18" spans="1:10" x14ac:dyDescent="0.25">
      <c r="A18" s="251"/>
      <c r="B18" s="252" t="s">
        <v>125</v>
      </c>
      <c r="C18" s="252" t="s">
        <v>112</v>
      </c>
      <c r="D18" s="254">
        <v>7</v>
      </c>
      <c r="G18" s="251"/>
      <c r="H18" s="252" t="s">
        <v>281</v>
      </c>
      <c r="I18" s="252" t="s">
        <v>112</v>
      </c>
      <c r="J18" s="254">
        <v>1</v>
      </c>
    </row>
    <row r="19" spans="1:10" x14ac:dyDescent="0.25">
      <c r="G19" s="251" t="s">
        <v>68</v>
      </c>
      <c r="H19" s="252" t="s">
        <v>69</v>
      </c>
      <c r="I19" s="252" t="s">
        <v>112</v>
      </c>
      <c r="J19" s="254">
        <v>1</v>
      </c>
    </row>
    <row r="20" spans="1:10" x14ac:dyDescent="0.25">
      <c r="A20" s="250" t="s">
        <v>224</v>
      </c>
      <c r="B20" s="250" t="s">
        <v>292</v>
      </c>
      <c r="C20" s="250" t="s">
        <v>276</v>
      </c>
      <c r="D20" s="250"/>
    </row>
    <row r="21" spans="1:10" x14ac:dyDescent="0.25">
      <c r="A21" s="251" t="s">
        <v>89</v>
      </c>
      <c r="B21" s="252" t="s">
        <v>110</v>
      </c>
      <c r="C21" s="252" t="s">
        <v>278</v>
      </c>
      <c r="D21" s="254">
        <v>1</v>
      </c>
    </row>
    <row r="22" spans="1:10" x14ac:dyDescent="0.25">
      <c r="A22" s="251" t="s">
        <v>74</v>
      </c>
      <c r="B22" s="252" t="s">
        <v>17</v>
      </c>
      <c r="C22" s="252" t="s">
        <v>112</v>
      </c>
      <c r="D22" s="254">
        <v>1</v>
      </c>
      <c r="G22" s="250" t="s">
        <v>174</v>
      </c>
      <c r="H22" s="255" t="s">
        <v>293</v>
      </c>
      <c r="I22" s="250"/>
      <c r="J22" s="250"/>
    </row>
    <row r="23" spans="1:10" x14ac:dyDescent="0.25">
      <c r="A23" s="251" t="s">
        <v>46</v>
      </c>
      <c r="B23" s="252" t="s">
        <v>47</v>
      </c>
      <c r="C23" s="252" t="s">
        <v>114</v>
      </c>
      <c r="D23" s="254" t="s">
        <v>280</v>
      </c>
      <c r="G23" s="251" t="s">
        <v>158</v>
      </c>
      <c r="H23" s="252" t="s">
        <v>159</v>
      </c>
      <c r="I23" s="252" t="s">
        <v>278</v>
      </c>
      <c r="J23" s="254">
        <v>20</v>
      </c>
    </row>
    <row r="24" spans="1:10" x14ac:dyDescent="0.25">
      <c r="A24" s="251"/>
      <c r="B24" s="252" t="s">
        <v>125</v>
      </c>
      <c r="C24" s="252" t="s">
        <v>112</v>
      </c>
      <c r="D24" s="254">
        <v>1</v>
      </c>
      <c r="G24" s="251" t="s">
        <v>46</v>
      </c>
      <c r="H24" s="252" t="s">
        <v>47</v>
      </c>
      <c r="I24" s="252" t="s">
        <v>114</v>
      </c>
      <c r="J24" s="254" t="s">
        <v>280</v>
      </c>
    </row>
    <row r="25" spans="1:10" x14ac:dyDescent="0.25">
      <c r="G25" s="251"/>
      <c r="H25" s="252" t="s">
        <v>281</v>
      </c>
      <c r="I25" s="252" t="s">
        <v>112</v>
      </c>
      <c r="J25" s="254">
        <v>1</v>
      </c>
    </row>
    <row r="26" spans="1:10" x14ac:dyDescent="0.25">
      <c r="A26" s="250" t="s">
        <v>190</v>
      </c>
      <c r="B26" s="250" t="s">
        <v>294</v>
      </c>
      <c r="C26" s="250" t="s">
        <v>295</v>
      </c>
      <c r="D26" s="250"/>
      <c r="G26" s="251"/>
      <c r="H26" s="252" t="s">
        <v>296</v>
      </c>
      <c r="I26" s="252" t="s">
        <v>278</v>
      </c>
      <c r="J26" s="254">
        <v>15</v>
      </c>
    </row>
    <row r="27" spans="1:10" x14ac:dyDescent="0.25">
      <c r="A27" s="251" t="s">
        <v>89</v>
      </c>
      <c r="B27" s="252" t="s">
        <v>110</v>
      </c>
      <c r="C27" s="252" t="s">
        <v>278</v>
      </c>
      <c r="D27" s="254">
        <v>15</v>
      </c>
    </row>
    <row r="28" spans="1:10" x14ac:dyDescent="0.25">
      <c r="A28" s="251" t="s">
        <v>37</v>
      </c>
      <c r="B28" s="252" t="s">
        <v>38</v>
      </c>
      <c r="C28" s="252" t="s">
        <v>112</v>
      </c>
      <c r="D28" s="254">
        <v>1</v>
      </c>
    </row>
    <row r="29" spans="1:10" x14ac:dyDescent="0.25">
      <c r="A29" s="251" t="s">
        <v>35</v>
      </c>
      <c r="B29" s="252" t="s">
        <v>36</v>
      </c>
      <c r="C29" s="252" t="s">
        <v>112</v>
      </c>
      <c r="D29" s="254">
        <v>3</v>
      </c>
    </row>
    <row r="30" spans="1:10" x14ac:dyDescent="0.25">
      <c r="A30" s="251" t="s">
        <v>46</v>
      </c>
      <c r="B30" s="252" t="s">
        <v>47</v>
      </c>
      <c r="C30" s="252" t="s">
        <v>114</v>
      </c>
      <c r="D30" s="254" t="s">
        <v>297</v>
      </c>
    </row>
    <row r="31" spans="1:10" x14ac:dyDescent="0.25">
      <c r="A31" s="251" t="s">
        <v>64</v>
      </c>
      <c r="B31" s="252" t="s">
        <v>65</v>
      </c>
      <c r="C31" s="252" t="s">
        <v>114</v>
      </c>
      <c r="D31" s="254" t="s">
        <v>291</v>
      </c>
    </row>
    <row r="32" spans="1:10" x14ac:dyDescent="0.25">
      <c r="A32" s="251"/>
      <c r="B32" s="252" t="s">
        <v>125</v>
      </c>
      <c r="C32" s="252" t="s">
        <v>112</v>
      </c>
      <c r="D32" s="254">
        <v>4</v>
      </c>
    </row>
  </sheetData>
  <mergeCells count="3">
    <mergeCell ref="G1:J1"/>
    <mergeCell ref="G8:J8"/>
    <mergeCell ref="G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custo unitário INSUMOS</vt:lpstr>
      <vt:lpstr>estruturas MODELOS</vt:lpstr>
      <vt:lpstr>CUSTO 2024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Danieli Aragao</dc:creator>
  <cp:keywords/>
  <dc:description/>
  <cp:lastModifiedBy>Vanessa Santos Ferreira</cp:lastModifiedBy>
  <cp:revision/>
  <dcterms:created xsi:type="dcterms:W3CDTF">2024-07-05T12:26:00Z</dcterms:created>
  <dcterms:modified xsi:type="dcterms:W3CDTF">2026-02-17T17:38:58Z</dcterms:modified>
  <cp:category/>
  <cp:contentStatus/>
</cp:coreProperties>
</file>