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anes\OneDrive\Documents\BTJ\documentos\"/>
    </mc:Choice>
  </mc:AlternateContent>
  <xr:revisionPtr revIDLastSave="0" documentId="13_ncr:1_{440DAE5C-0F2C-4EED-A57F-44844E93584A}" xr6:coauthVersionLast="47" xr6:coauthVersionMax="47" xr10:uidLastSave="{00000000-0000-0000-0000-000000000000}"/>
  <bookViews>
    <workbookView xWindow="-120" yWindow="-120" windowWidth="20730" windowHeight="11040" tabRatio="646" xr2:uid="{10E36108-4612-4BB4-9C45-3B9F40C83E44}"/>
  </bookViews>
  <sheets>
    <sheet name="custo unitário INSUMOS" sheetId="2" r:id="rId1"/>
    <sheet name="estruturas MODELOS" sheetId="1" r:id="rId2"/>
  </sheets>
  <definedNames>
    <definedName name="CC_originacao">#REF!,#REF!,#REF!,#REF!,#REF!</definedName>
    <definedName name="CC_PAC">#REF!,#REF!,#REF!,#REF!,#REF!</definedName>
    <definedName name="TAB_EMP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4" i="2" l="1"/>
  <c r="L2" i="2"/>
  <c r="L3" i="2" s="1"/>
  <c r="I28" i="2" l="1"/>
  <c r="L4" i="2" l="1"/>
  <c r="J25" i="2" s="1"/>
  <c r="K2" i="2"/>
  <c r="J28" i="2" l="1"/>
  <c r="J19" i="2"/>
  <c r="J11" i="2"/>
  <c r="J3" i="2"/>
  <c r="J10" i="2"/>
  <c r="E121" i="1" s="1"/>
  <c r="J2" i="2"/>
  <c r="E160" i="1"/>
  <c r="J17" i="2"/>
  <c r="J9" i="2"/>
  <c r="J5" i="2"/>
  <c r="J16" i="2"/>
  <c r="J8" i="2"/>
  <c r="J4" i="2"/>
  <c r="J7" i="2"/>
  <c r="J13" i="2"/>
  <c r="J20" i="2"/>
  <c r="E170" i="1" s="1"/>
  <c r="J14" i="2"/>
  <c r="J6" i="2"/>
  <c r="J12" i="2"/>
  <c r="E94" i="1" l="1"/>
  <c r="E118" i="1"/>
  <c r="E105" i="1"/>
  <c r="E50" i="1"/>
  <c r="E108" i="1"/>
  <c r="E97" i="1"/>
  <c r="E93" i="1"/>
  <c r="E104" i="1"/>
  <c r="E117" i="1"/>
  <c r="E46" i="1"/>
  <c r="E162" i="1"/>
  <c r="E161" i="1"/>
  <c r="E148" i="1"/>
  <c r="E147" i="1"/>
  <c r="E146" i="1"/>
  <c r="E139" i="1"/>
  <c r="E138" i="1"/>
  <c r="E137" i="1"/>
  <c r="E130" i="1"/>
  <c r="E129" i="1"/>
  <c r="E39" i="1"/>
  <c r="E35" i="1"/>
  <c r="E28" i="1"/>
  <c r="E27" i="1"/>
  <c r="E17" i="1"/>
  <c r="E15" i="1"/>
  <c r="E14" i="1"/>
  <c r="E11" i="1"/>
  <c r="E9" i="1"/>
  <c r="K3" i="2"/>
  <c r="K4" i="2" s="1"/>
  <c r="I24" i="2"/>
  <c r="J24" i="2" s="1"/>
  <c r="E185" i="1" s="1"/>
  <c r="I23" i="2"/>
  <c r="J23" i="2" s="1"/>
  <c r="E184" i="1" s="1"/>
  <c r="I21" i="2"/>
  <c r="J21" i="2" s="1"/>
  <c r="E47" i="1" s="1"/>
  <c r="I18" i="2"/>
  <c r="J18" i="2" s="1"/>
  <c r="E38" i="1" s="1"/>
  <c r="I15" i="2"/>
  <c r="J15" i="2" s="1"/>
  <c r="E13" i="1" s="1"/>
  <c r="I26" i="2"/>
  <c r="J26" i="2" s="1"/>
  <c r="D24" i="2"/>
  <c r="D23" i="2"/>
  <c r="D21" i="2"/>
  <c r="D18" i="2"/>
  <c r="D15" i="2"/>
  <c r="D14" i="2"/>
  <c r="D146" i="1"/>
  <c r="D137" i="1"/>
  <c r="D128" i="1"/>
  <c r="E128" i="1" s="1"/>
  <c r="D119" i="1"/>
  <c r="E119" i="1" s="1"/>
  <c r="D106" i="1"/>
  <c r="E106" i="1" s="1"/>
  <c r="D95" i="1"/>
  <c r="E95" i="1" s="1"/>
  <c r="D92" i="1"/>
  <c r="D103" i="1" s="1"/>
  <c r="E85" i="1"/>
  <c r="D83" i="1"/>
  <c r="D80" i="1"/>
  <c r="E74" i="1"/>
  <c r="D72" i="1"/>
  <c r="D69" i="1"/>
  <c r="E63" i="1"/>
  <c r="D61" i="1"/>
  <c r="D58" i="1"/>
  <c r="D48" i="1"/>
  <c r="E48" i="1" s="1"/>
  <c r="D45" i="1"/>
  <c r="D37" i="1"/>
  <c r="E37" i="1" s="1"/>
  <c r="D34" i="1"/>
  <c r="D26" i="1"/>
  <c r="E26" i="1" s="1"/>
  <c r="D25" i="1"/>
  <c r="D12" i="1"/>
  <c r="E12" i="1" s="1"/>
  <c r="I22" i="2" l="1"/>
  <c r="J22" i="2" s="1"/>
  <c r="E10" i="1" s="1"/>
  <c r="E96" i="1"/>
  <c r="E120" i="1"/>
  <c r="E107" i="1"/>
  <c r="E49" i="1"/>
  <c r="E36" i="1"/>
  <c r="E116" i="1"/>
  <c r="E92" i="1"/>
  <c r="E103" i="1"/>
  <c r="I27" i="2"/>
  <c r="J27" i="2" s="1"/>
  <c r="E154" i="1" s="1"/>
  <c r="E45" i="1"/>
  <c r="E8" i="1"/>
  <c r="E25" i="1"/>
  <c r="E34" i="1"/>
  <c r="E164" i="1"/>
  <c r="F164" i="1" s="1"/>
  <c r="E187" i="1"/>
  <c r="D136" i="1" l="1"/>
  <c r="E136" i="1" s="1"/>
  <c r="E141" i="1" s="1"/>
  <c r="F141" i="1" s="1"/>
  <c r="D145" i="1"/>
  <c r="E145" i="1" s="1"/>
  <c r="E150" i="1" s="1"/>
  <c r="F150" i="1" s="1"/>
  <c r="D177" i="1"/>
  <c r="E177" i="1" s="1"/>
  <c r="E179" i="1" s="1"/>
  <c r="F179" i="1" s="1"/>
  <c r="D169" i="1"/>
  <c r="E169" i="1" s="1"/>
  <c r="E172" i="1" s="1"/>
  <c r="F172" i="1" s="1"/>
  <c r="D127" i="1"/>
  <c r="E127" i="1" s="1"/>
  <c r="E132" i="1" s="1"/>
  <c r="F132" i="1" s="1"/>
  <c r="E123" i="1"/>
  <c r="F123" i="1" s="1"/>
  <c r="E30" i="1"/>
  <c r="F30" i="1" s="1"/>
  <c r="E110" i="1"/>
  <c r="F110" i="1" s="1"/>
  <c r="E41" i="1"/>
  <c r="F41" i="1" s="1"/>
  <c r="E99" i="1"/>
  <c r="F99" i="1" s="1"/>
  <c r="E52" i="1"/>
  <c r="F52" i="1" s="1"/>
  <c r="E19" i="1"/>
  <c r="F19" i="1" s="1"/>
  <c r="E20" i="1"/>
  <c r="F20" i="1" s="1"/>
  <c r="E156" i="1" l="1"/>
  <c r="F156" i="1" s="1"/>
</calcChain>
</file>

<file path=xl/sharedStrings.xml><?xml version="1.0" encoding="utf-8"?>
<sst xmlns="http://schemas.openxmlformats.org/spreadsheetml/2006/main" count="507" uniqueCount="156">
  <si>
    <t>CÓDIGOS</t>
  </si>
  <si>
    <t>INSUMOS NAS ESTRUTURAS</t>
  </si>
  <si>
    <t>unidade de compra</t>
  </si>
  <si>
    <t>vlr unitário</t>
  </si>
  <si>
    <t>data entrada</t>
  </si>
  <si>
    <t>NF</t>
  </si>
  <si>
    <t>Fornecedor</t>
  </si>
  <si>
    <t>unidade de estoque</t>
  </si>
  <si>
    <t>vlr unit pela unidade de estoque</t>
  </si>
  <si>
    <t>vlr unit pela unidade de estoque SEM TRIBUTOS</t>
  </si>
  <si>
    <t>pis, cofins, icms</t>
  </si>
  <si>
    <t>pis, cofins</t>
  </si>
  <si>
    <t>05.0004</t>
  </si>
  <si>
    <t>CAIXA DE ISOPOR (8,5L)</t>
  </si>
  <si>
    <t>UN</t>
  </si>
  <si>
    <t>05.0020</t>
  </si>
  <si>
    <t>SACO PLASTICO 1KG - UNICA</t>
  </si>
  <si>
    <t>MI</t>
  </si>
  <si>
    <t>05.0032</t>
  </si>
  <si>
    <t>SACO GOODFISH 500g</t>
  </si>
  <si>
    <t>sem entrada com nota fiscal</t>
  </si>
  <si>
    <t>-</t>
  </si>
  <si>
    <t>05.0033</t>
  </si>
  <si>
    <t>SACO QUALYFISH 400g</t>
  </si>
  <si>
    <t>05.0034</t>
  </si>
  <si>
    <t>SACO QUALYFISH 800g</t>
  </si>
  <si>
    <t>05.0046</t>
  </si>
  <si>
    <t>ETQ AZUL</t>
  </si>
  <si>
    <t>05.0047</t>
  </si>
  <si>
    <t>ETQ VERDE</t>
  </si>
  <si>
    <t>05.0048</t>
  </si>
  <si>
    <t>ETIQUETA VERMELHA - GG</t>
  </si>
  <si>
    <t>05.0049</t>
  </si>
  <si>
    <t>ETQ BRANCA</t>
  </si>
  <si>
    <t>05.0073</t>
  </si>
  <si>
    <t>SACO PARA CONGELADOS</t>
  </si>
  <si>
    <t>05.0080</t>
  </si>
  <si>
    <t>CAIXA DE PAPELÃO 330X430X330mm</t>
  </si>
  <si>
    <t>UN - MI</t>
  </si>
  <si>
    <t>6,31 e 5,70</t>
  </si>
  <si>
    <t>7275 - 63951</t>
  </si>
  <si>
    <t>13701 - 13433</t>
  </si>
  <si>
    <t>05.0083</t>
  </si>
  <si>
    <t>FOLHA PE LISA 30X40</t>
  </si>
  <si>
    <t>05.0086</t>
  </si>
  <si>
    <t>RIBBON</t>
  </si>
  <si>
    <t>RL</t>
  </si>
  <si>
    <t>M</t>
  </si>
  <si>
    <t>05.0087</t>
  </si>
  <si>
    <t xml:space="preserve">FITA ADESIVA </t>
  </si>
  <si>
    <t>05.0088</t>
  </si>
  <si>
    <t>ABSORVENTE PRETO</t>
  </si>
  <si>
    <t>CX</t>
  </si>
  <si>
    <t>05.0092</t>
  </si>
  <si>
    <t>ABSORVENTE BRANCO</t>
  </si>
  <si>
    <t>05.0089</t>
  </si>
  <si>
    <t>FITA DE ARQUEAR</t>
  </si>
  <si>
    <t>05.0090</t>
  </si>
  <si>
    <t>SACO 500X800X0,16 AZUL</t>
  </si>
  <si>
    <t>05.0091</t>
  </si>
  <si>
    <t>SACO RAFIA</t>
  </si>
  <si>
    <t>SC</t>
  </si>
  <si>
    <t>05.0059</t>
  </si>
  <si>
    <t>SACO QUALY NP 350X450X120P</t>
  </si>
  <si>
    <t>04.0018</t>
  </si>
  <si>
    <t>GELOX</t>
  </si>
  <si>
    <t>UNIDADE</t>
  </si>
  <si>
    <t>05.0093</t>
  </si>
  <si>
    <t>PO QUIMICO GEL PACK - UNICA</t>
  </si>
  <si>
    <t>KG</t>
  </si>
  <si>
    <t>GR</t>
  </si>
  <si>
    <t>05.0017</t>
  </si>
  <si>
    <t>SACO GEL PACK - UNICA</t>
  </si>
  <si>
    <t>05.0027</t>
  </si>
  <si>
    <t>PEIXE VIVO</t>
  </si>
  <si>
    <t>FLR001</t>
  </si>
  <si>
    <t>FILE SEM PELE IN NATURA</t>
  </si>
  <si>
    <t>RENDIMENTO/KG</t>
  </si>
  <si>
    <t>04.0015</t>
  </si>
  <si>
    <t>RESÍDUO</t>
  </si>
  <si>
    <t>EVISCERADA</t>
  </si>
  <si>
    <t>EVICESRADA</t>
  </si>
  <si>
    <t>BASE ATUALIZADA EM:</t>
  </si>
  <si>
    <t>Código</t>
  </si>
  <si>
    <t>Derivação</t>
  </si>
  <si>
    <t>Unid</t>
  </si>
  <si>
    <t>Qtde</t>
  </si>
  <si>
    <t>Custo por PA</t>
  </si>
  <si>
    <t>Custo por KG</t>
  </si>
  <si>
    <t>RESFRIADOS</t>
  </si>
  <si>
    <t>DIVERSOS</t>
  </si>
  <si>
    <t>DERIVACAO EMB005</t>
  </si>
  <si>
    <t>CAIXA DE ISOPOR 5kg</t>
  </si>
  <si>
    <t>PA - 5KG</t>
  </si>
  <si>
    <t>FILÉ SEM PELE IN NATURA</t>
  </si>
  <si>
    <t>KG - RENDIMENTO</t>
  </si>
  <si>
    <t>unidade</t>
  </si>
  <si>
    <t>unidades</t>
  </si>
  <si>
    <t>metros</t>
  </si>
  <si>
    <t>OU</t>
  </si>
  <si>
    <t>c/ ABS PRETO</t>
  </si>
  <si>
    <t>Custo</t>
  </si>
  <si>
    <t>c/ ABS BRANCO</t>
  </si>
  <si>
    <t>PA</t>
  </si>
  <si>
    <t>02.0030</t>
  </si>
  <si>
    <t>FILE DE TILAPIA RESFR. 100 UP MRN - VACUO 1KG</t>
  </si>
  <si>
    <t>DERIVAÇÃO EMB001</t>
  </si>
  <si>
    <t xml:space="preserve">SACO À VÁCUO 1KG </t>
  </si>
  <si>
    <t>PA - 1KG</t>
  </si>
  <si>
    <t>ETIQUETA (unidades)</t>
  </si>
  <si>
    <t>sem faturamento em 2023</t>
  </si>
  <si>
    <t>DERIVAÇÃO EMB009</t>
  </si>
  <si>
    <t>CAIXA DE PAPELÃO 15KG - RESFRIADO</t>
  </si>
  <si>
    <t>PA - 15KG</t>
  </si>
  <si>
    <t>SACO QUALY NP 350 X 450 X 120P</t>
  </si>
  <si>
    <t>DERIVAÇÃO EMB011</t>
  </si>
  <si>
    <t xml:space="preserve">CAIXA DE PAPELÃO 30KG </t>
  </si>
  <si>
    <t>CONGELADOS PARA TERCEIROS</t>
  </si>
  <si>
    <t>01.0017</t>
  </si>
  <si>
    <t>FILE DE TILAPIA CONG. QUALYFISH 400G</t>
  </si>
  <si>
    <t>CAIXA DE PAPELÃO 10KG (QUALYFISH 400g)</t>
  </si>
  <si>
    <t>PEIXE VIVO (conf rendimento)</t>
  </si>
  <si>
    <t>Custo por Kg</t>
  </si>
  <si>
    <t>01.0018</t>
  </si>
  <si>
    <t>FILE DE TILAPIA CONG. QUALYFISH 800G</t>
  </si>
  <si>
    <t>CAIXA DE PAPELÃO 9,6KG (QUALYFISH 800g)</t>
  </si>
  <si>
    <t>01.0016</t>
  </si>
  <si>
    <t>FILE DE TILAPIA CONG. GOODFISH 500G</t>
  </si>
  <si>
    <t>CAIXA DE PAPELÃO 10KG (GOODFISH 500g)</t>
  </si>
  <si>
    <t>CONGELADOS FOODS</t>
  </si>
  <si>
    <t>CAIXA DE PAPELÃO 15KG - SEM PELE</t>
  </si>
  <si>
    <t>FILÉ SEM PELE CONGELADO</t>
  </si>
  <si>
    <t>CAIXA DE PAPELÃO 15KG - COM PELE</t>
  </si>
  <si>
    <t>OUTROS PRODUTOS FOODS</t>
  </si>
  <si>
    <t>01.0014</t>
  </si>
  <si>
    <t>ISCAS DE PEIXE CONGELADAS CX 15KG</t>
  </si>
  <si>
    <t>PELE - SACO 20KG</t>
  </si>
  <si>
    <t>KG - RESÍDUO</t>
  </si>
  <si>
    <t>VENTRECHA CONGELADA - SACO 20KG</t>
  </si>
  <si>
    <t>BARRIGUINHA CONGELADA - SACO 20KG</t>
  </si>
  <si>
    <t>ESTRUTURA CARCAÇA</t>
  </si>
  <si>
    <t>A GRANEL</t>
  </si>
  <si>
    <t>03.0005</t>
  </si>
  <si>
    <t>TILAPIA INTEIRA FRESCA</t>
  </si>
  <si>
    <t>PRODUTOS FFO</t>
  </si>
  <si>
    <t>04.0001</t>
  </si>
  <si>
    <t>FARINHA DE PEIXE</t>
  </si>
  <si>
    <t>OBS.: RENDIMENTO EM RELAÇÃO AO RESÍDUO E NÃO EM RELAÇÃO AO PEIXE</t>
  </si>
  <si>
    <t>FARINHA - SACO 25KG</t>
  </si>
  <si>
    <t>04.0002</t>
  </si>
  <si>
    <t>OLEO DE PEIXE</t>
  </si>
  <si>
    <t>ÓLEO - 1KG (A GRANEL)</t>
  </si>
  <si>
    <t xml:space="preserve">GELOX </t>
  </si>
  <si>
    <t>PI</t>
  </si>
  <si>
    <t>gramas</t>
  </si>
  <si>
    <t>Custo por Unid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</si>
</sst>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0_-;\-* #,##0.000_-;_-* &quot;-&quot;??_-;_-@_-"/>
    <numFmt numFmtId="165" formatCode="_-&quot;R$&quot;\ * #,##0.0000_-;\-&quot;R$&quot;\ * #,##0.0000_-;_-&quot;R$&quot;\ * &quot;-&quot;??_-;_-@_-"/>
    <numFmt numFmtId="166" formatCode="_-* #,##0.000_-;\-* #,##0.000_-;_-* &quot;-&quot;???_-;_-@_-"/>
    <numFmt numFmtId="167" formatCode="0.000"/>
    <numFmt numFmtId="168" formatCode="_-* #,##0.00000_-;\-* #,##0.00000_-;_-* &quot;-&quot;??_-;_-@_-"/>
    <numFmt numFmtId="169" formatCode="_-&quot;R$&quot;\ * #,##0.000_-;\-&quot;R$&quot;\ * #,##0.000_-;_-&quot;R$&quot;\ * &quot;-&quot;??_-;_-@_-"/>
    <numFmt numFmtId="170" formatCode="_-&quot;R$&quot;\ * #,##0.000_-;\-&quot;R$&quot;\ * #,##0.000_-;_-&quot;R$&quot;\ * &quot;-&quot;???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i/>
      <sz val="11"/>
      <color rgb="FF002060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4" fillId="0" borderId="0" applyNumberFormat="0"/>
    <xf numFmtId="0" fontId="14" fillId="0" borderId="0" applyNumberFormat="0"/>
    <xf numFmtId="43" fontId="14" fillId="0" borderId="0" applyFont="0" applyFill="0" applyBorder="0" applyAlignment="0" applyProtection="0"/>
    <xf numFmtId="0" fontId="1" fillId="0" borderId="0"/>
    <xf numFmtId="0" fontId="1" fillId="15" borderId="21" applyNumberFormat="0" applyFont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3">
    <xf numFmtId="0" fontId="0" fillId="0" borderId="0" xfId="0"/>
    <xf numFmtId="49" fontId="4" fillId="2" borderId="0" xfId="0" applyNumberFormat="1" applyFont="1" applyFill="1"/>
    <xf numFmtId="0" fontId="6" fillId="2" borderId="0" xfId="0" applyFont="1" applyFill="1" applyAlignment="1">
      <alignment horizontal="center"/>
    </xf>
    <xf numFmtId="14" fontId="6" fillId="2" borderId="0" xfId="0" applyNumberFormat="1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/>
    <xf numFmtId="49" fontId="4" fillId="2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49" fontId="4" fillId="2" borderId="0" xfId="0" applyNumberFormat="1" applyFont="1" applyFill="1" applyAlignment="1">
      <alignment horizontal="center"/>
    </xf>
    <xf numFmtId="49" fontId="2" fillId="3" borderId="0" xfId="0" applyNumberFormat="1" applyFont="1" applyFill="1"/>
    <xf numFmtId="0" fontId="2" fillId="3" borderId="0" xfId="0" applyFont="1" applyFill="1" applyAlignment="1">
      <alignment horizontal="center"/>
    </xf>
    <xf numFmtId="0" fontId="7" fillId="2" borderId="4" xfId="0" applyFont="1" applyFill="1" applyBorder="1"/>
    <xf numFmtId="9" fontId="4" fillId="2" borderId="0" xfId="0" applyNumberFormat="1" applyFont="1" applyFill="1" applyAlignment="1">
      <alignment horizontal="center"/>
    </xf>
    <xf numFmtId="49" fontId="4" fillId="2" borderId="5" xfId="0" applyNumberFormat="1" applyFont="1" applyFill="1" applyBorder="1"/>
    <xf numFmtId="0" fontId="4" fillId="4" borderId="4" xfId="0" applyFont="1" applyFill="1" applyBorder="1"/>
    <xf numFmtId="0" fontId="4" fillId="2" borderId="4" xfId="0" applyFont="1" applyFill="1" applyBorder="1" applyAlignment="1">
      <alignment horizontal="center"/>
    </xf>
    <xf numFmtId="164" fontId="5" fillId="5" borderId="6" xfId="1" applyNumberFormat="1" applyFont="1" applyFill="1" applyBorder="1" applyAlignment="1">
      <alignment horizontal="center"/>
    </xf>
    <xf numFmtId="49" fontId="2" fillId="5" borderId="7" xfId="0" applyNumberFormat="1" applyFont="1" applyFill="1" applyBorder="1"/>
    <xf numFmtId="0" fontId="2" fillId="5" borderId="8" xfId="0" applyFont="1" applyFill="1" applyBorder="1"/>
    <xf numFmtId="9" fontId="5" fillId="5" borderId="8" xfId="0" applyNumberFormat="1" applyFont="1" applyFill="1" applyBorder="1" applyAlignment="1">
      <alignment horizontal="left"/>
    </xf>
    <xf numFmtId="164" fontId="8" fillId="2" borderId="0" xfId="1" applyNumberFormat="1" applyFont="1" applyFill="1" applyBorder="1" applyAlignment="1">
      <alignment horizontal="center"/>
    </xf>
    <xf numFmtId="49" fontId="0" fillId="0" borderId="0" xfId="0" applyNumberFormat="1"/>
    <xf numFmtId="49" fontId="0" fillId="2" borderId="10" xfId="0" applyNumberFormat="1" applyFill="1" applyBorder="1"/>
    <xf numFmtId="0" fontId="0" fillId="2" borderId="11" xfId="0" applyFill="1" applyBorder="1"/>
    <xf numFmtId="0" fontId="0" fillId="2" borderId="0" xfId="0" applyFill="1" applyAlignment="1">
      <alignment horizontal="center"/>
    </xf>
    <xf numFmtId="49" fontId="0" fillId="6" borderId="8" xfId="0" applyNumberFormat="1" applyFill="1" applyBorder="1"/>
    <xf numFmtId="0" fontId="0" fillId="7" borderId="8" xfId="0" applyFill="1" applyBorder="1"/>
    <xf numFmtId="0" fontId="0" fillId="2" borderId="8" xfId="0" applyFill="1" applyBorder="1"/>
    <xf numFmtId="49" fontId="0" fillId="2" borderId="12" xfId="0" applyNumberFormat="1" applyFill="1" applyBorder="1"/>
    <xf numFmtId="0" fontId="0" fillId="2" borderId="13" xfId="0" applyFill="1" applyBorder="1"/>
    <xf numFmtId="49" fontId="0" fillId="6" borderId="14" xfId="0" applyNumberFormat="1" applyFill="1" applyBorder="1"/>
    <xf numFmtId="0" fontId="0" fillId="2" borderId="9" xfId="0" applyFill="1" applyBorder="1" applyAlignment="1">
      <alignment horizontal="center"/>
    </xf>
    <xf numFmtId="49" fontId="0" fillId="8" borderId="10" xfId="0" applyNumberFormat="1" applyFill="1" applyBorder="1"/>
    <xf numFmtId="49" fontId="0" fillId="9" borderId="14" xfId="0" applyNumberFormat="1" applyFill="1" applyBorder="1"/>
    <xf numFmtId="0" fontId="0" fillId="2" borderId="15" xfId="0" applyFill="1" applyBorder="1"/>
    <xf numFmtId="0" fontId="0" fillId="2" borderId="16" xfId="0" applyFill="1" applyBorder="1" applyAlignment="1">
      <alignment horizontal="center"/>
    </xf>
    <xf numFmtId="0" fontId="0" fillId="2" borderId="0" xfId="0" applyFill="1"/>
    <xf numFmtId="0" fontId="4" fillId="2" borderId="17" xfId="0" applyFont="1" applyFill="1" applyBorder="1" applyAlignment="1">
      <alignment horizontal="center"/>
    </xf>
    <xf numFmtId="49" fontId="0" fillId="2" borderId="0" xfId="0" applyNumberFormat="1" applyFill="1"/>
    <xf numFmtId="9" fontId="0" fillId="2" borderId="0" xfId="0" applyNumberFormat="1" applyFill="1" applyAlignment="1">
      <alignment horizontal="center"/>
    </xf>
    <xf numFmtId="164" fontId="5" fillId="5" borderId="9" xfId="1" applyNumberFormat="1" applyFont="1" applyFill="1" applyBorder="1" applyAlignment="1">
      <alignment horizontal="center"/>
    </xf>
    <xf numFmtId="0" fontId="0" fillId="4" borderId="8" xfId="0" applyFill="1" applyBorder="1"/>
    <xf numFmtId="49" fontId="0" fillId="2" borderId="18" xfId="0" applyNumberFormat="1" applyFill="1" applyBorder="1"/>
    <xf numFmtId="49" fontId="3" fillId="2" borderId="0" xfId="0" applyNumberFormat="1" applyFont="1" applyFill="1"/>
    <xf numFmtId="0" fontId="0" fillId="4" borderId="15" xfId="0" applyFill="1" applyBorder="1"/>
    <xf numFmtId="0" fontId="4" fillId="2" borderId="4" xfId="0" applyFont="1" applyFill="1" applyBorder="1"/>
    <xf numFmtId="0" fontId="2" fillId="3" borderId="0" xfId="0" applyFont="1" applyFill="1"/>
    <xf numFmtId="49" fontId="0" fillId="0" borderId="14" xfId="0" applyNumberFormat="1" applyBorder="1"/>
    <xf numFmtId="49" fontId="9" fillId="2" borderId="7" xfId="0" applyNumberFormat="1" applyFont="1" applyFill="1" applyBorder="1"/>
    <xf numFmtId="0" fontId="9" fillId="2" borderId="8" xfId="0" applyFont="1" applyFill="1" applyBorder="1"/>
    <xf numFmtId="0" fontId="9" fillId="2" borderId="9" xfId="0" applyFont="1" applyFill="1" applyBorder="1" applyAlignment="1">
      <alignment horizontal="center"/>
    </xf>
    <xf numFmtId="49" fontId="0" fillId="2" borderId="14" xfId="0" applyNumberFormat="1" applyFill="1" applyBorder="1"/>
    <xf numFmtId="166" fontId="0" fillId="2" borderId="0" xfId="0" applyNumberFormat="1" applyFill="1"/>
    <xf numFmtId="0" fontId="5" fillId="3" borderId="0" xfId="0" applyFont="1" applyFill="1"/>
    <xf numFmtId="49" fontId="4" fillId="6" borderId="5" xfId="0" applyNumberFormat="1" applyFont="1" applyFill="1" applyBorder="1"/>
    <xf numFmtId="0" fontId="11" fillId="2" borderId="4" xfId="0" applyFont="1" applyFill="1" applyBorder="1"/>
    <xf numFmtId="49" fontId="0" fillId="0" borderId="8" xfId="0" applyNumberFormat="1" applyBorder="1"/>
    <xf numFmtId="0" fontId="0" fillId="0" borderId="8" xfId="0" applyBorder="1"/>
    <xf numFmtId="9" fontId="5" fillId="10" borderId="8" xfId="0" applyNumberFormat="1" applyFont="1" applyFill="1" applyBorder="1" applyAlignment="1">
      <alignment horizontal="left"/>
    </xf>
    <xf numFmtId="49" fontId="12" fillId="11" borderId="0" xfId="0" applyNumberFormat="1" applyFont="1" applyFill="1"/>
    <xf numFmtId="0" fontId="8" fillId="11" borderId="0" xfId="0" applyFont="1" applyFill="1"/>
    <xf numFmtId="0" fontId="0" fillId="2" borderId="0" xfId="0" applyFill="1" applyAlignment="1">
      <alignment horizontal="left"/>
    </xf>
    <xf numFmtId="164" fontId="5" fillId="10" borderId="9" xfId="1" applyNumberFormat="1" applyFont="1" applyFill="1" applyBorder="1" applyAlignment="1">
      <alignment horizontal="center"/>
    </xf>
    <xf numFmtId="49" fontId="0" fillId="0" borderId="18" xfId="0" applyNumberFormat="1" applyBorder="1"/>
    <xf numFmtId="0" fontId="4" fillId="2" borderId="19" xfId="0" applyFont="1" applyFill="1" applyBorder="1" applyAlignment="1">
      <alignment horizontal="center"/>
    </xf>
    <xf numFmtId="49" fontId="10" fillId="13" borderId="14" xfId="0" applyNumberFormat="1" applyFont="1" applyFill="1" applyBorder="1"/>
    <xf numFmtId="0" fontId="10" fillId="13" borderId="8" xfId="0" applyFont="1" applyFill="1" applyBorder="1"/>
    <xf numFmtId="0" fontId="0" fillId="13" borderId="8" xfId="0" applyFill="1" applyBorder="1"/>
    <xf numFmtId="49" fontId="10" fillId="13" borderId="18" xfId="0" applyNumberFormat="1" applyFont="1" applyFill="1" applyBorder="1"/>
    <xf numFmtId="0" fontId="10" fillId="13" borderId="15" xfId="0" applyFont="1" applyFill="1" applyBorder="1"/>
    <xf numFmtId="0" fontId="0" fillId="13" borderId="15" xfId="0" applyFill="1" applyBorder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69" fontId="0" fillId="0" borderId="0" xfId="2" applyNumberFormat="1" applyFont="1"/>
    <xf numFmtId="14" fontId="0" fillId="0" borderId="0" xfId="0" applyNumberFormat="1"/>
    <xf numFmtId="0" fontId="0" fillId="0" borderId="0" xfId="0" applyAlignment="1">
      <alignment horizontal="center" vertical="center"/>
    </xf>
    <xf numFmtId="169" fontId="0" fillId="0" borderId="0" xfId="2" applyNumberFormat="1" applyFont="1" applyAlignment="1">
      <alignment horizontal="center" vertical="center"/>
    </xf>
    <xf numFmtId="169" fontId="8" fillId="0" borderId="0" xfId="2" applyNumberFormat="1" applyFont="1"/>
    <xf numFmtId="169" fontId="0" fillId="0" borderId="0" xfId="2" applyNumberFormat="1" applyFont="1" applyFill="1" applyAlignment="1">
      <alignment horizontal="center" vertical="center"/>
    </xf>
    <xf numFmtId="44" fontId="0" fillId="0" borderId="0" xfId="2" applyFont="1"/>
    <xf numFmtId="0" fontId="12" fillId="2" borderId="0" xfId="0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9" fontId="8" fillId="2" borderId="0" xfId="0" applyNumberFormat="1" applyFont="1" applyFill="1" applyAlignment="1">
      <alignment horizontal="center"/>
    </xf>
    <xf numFmtId="0" fontId="12" fillId="2" borderId="0" xfId="0" applyFont="1" applyFill="1"/>
    <xf numFmtId="0" fontId="8" fillId="2" borderId="0" xfId="0" applyFont="1" applyFill="1"/>
    <xf numFmtId="0" fontId="13" fillId="2" borderId="0" xfId="0" applyFont="1" applyFill="1" applyAlignment="1">
      <alignment horizontal="center"/>
    </xf>
    <xf numFmtId="166" fontId="8" fillId="2" borderId="0" xfId="0" applyNumberFormat="1" applyFont="1" applyFill="1"/>
    <xf numFmtId="167" fontId="8" fillId="2" borderId="0" xfId="1" applyNumberFormat="1" applyFont="1" applyFill="1" applyBorder="1" applyAlignment="1">
      <alignment horizontal="center"/>
    </xf>
    <xf numFmtId="0" fontId="8" fillId="2" borderId="0" xfId="0" applyFont="1" applyFill="1" applyAlignment="1">
      <alignment horizontal="left"/>
    </xf>
    <xf numFmtId="168" fontId="8" fillId="2" borderId="0" xfId="0" applyNumberFormat="1" applyFont="1" applyFill="1" applyAlignment="1">
      <alignment horizontal="center"/>
    </xf>
    <xf numFmtId="169" fontId="4" fillId="2" borderId="0" xfId="2" applyNumberFormat="1" applyFont="1" applyFill="1" applyAlignment="1">
      <alignment horizontal="center"/>
    </xf>
    <xf numFmtId="169" fontId="5" fillId="2" borderId="0" xfId="2" applyNumberFormat="1" applyFont="1" applyFill="1" applyBorder="1" applyAlignment="1">
      <alignment horizontal="center"/>
    </xf>
    <xf numFmtId="169" fontId="5" fillId="5" borderId="0" xfId="2" applyNumberFormat="1" applyFont="1" applyFill="1" applyBorder="1" applyAlignment="1">
      <alignment horizontal="center"/>
    </xf>
    <xf numFmtId="169" fontId="0" fillId="2" borderId="0" xfId="2" applyNumberFormat="1" applyFont="1" applyFill="1" applyBorder="1" applyAlignment="1">
      <alignment horizontal="center"/>
    </xf>
    <xf numFmtId="169" fontId="0" fillId="2" borderId="0" xfId="2" applyNumberFormat="1" applyFont="1" applyFill="1" applyAlignment="1">
      <alignment horizontal="center"/>
    </xf>
    <xf numFmtId="169" fontId="4" fillId="2" borderId="0" xfId="2" applyNumberFormat="1" applyFont="1" applyFill="1"/>
    <xf numFmtId="169" fontId="0" fillId="2" borderId="0" xfId="2" applyNumberFormat="1" applyFont="1" applyFill="1"/>
    <xf numFmtId="169" fontId="9" fillId="2" borderId="0" xfId="2" applyNumberFormat="1" applyFont="1" applyFill="1" applyAlignment="1">
      <alignment horizontal="center"/>
    </xf>
    <xf numFmtId="169" fontId="0" fillId="2" borderId="0" xfId="2" applyNumberFormat="1" applyFont="1" applyFill="1" applyAlignment="1">
      <alignment horizontal="left"/>
    </xf>
    <xf numFmtId="169" fontId="5" fillId="10" borderId="0" xfId="2" applyNumberFormat="1" applyFont="1" applyFill="1" applyAlignment="1">
      <alignment horizontal="left"/>
    </xf>
    <xf numFmtId="170" fontId="0" fillId="2" borderId="0" xfId="0" applyNumberFormat="1" applyFill="1"/>
    <xf numFmtId="49" fontId="2" fillId="14" borderId="7" xfId="0" applyNumberFormat="1" applyFont="1" applyFill="1" applyBorder="1"/>
    <xf numFmtId="0" fontId="2" fillId="14" borderId="8" xfId="0" applyFont="1" applyFill="1" applyBorder="1"/>
    <xf numFmtId="9" fontId="5" fillId="14" borderId="8" xfId="0" applyNumberFormat="1" applyFont="1" applyFill="1" applyBorder="1" applyAlignment="1">
      <alignment horizontal="left"/>
    </xf>
    <xf numFmtId="164" fontId="5" fillId="14" borderId="9" xfId="1" applyNumberFormat="1" applyFont="1" applyFill="1" applyBorder="1" applyAlignment="1">
      <alignment horizontal="center"/>
    </xf>
    <xf numFmtId="49" fontId="5" fillId="8" borderId="10" xfId="0" applyNumberFormat="1" applyFont="1" applyFill="1" applyBorder="1"/>
    <xf numFmtId="169" fontId="4" fillId="2" borderId="8" xfId="2" applyNumberFormat="1" applyFont="1" applyFill="1" applyBorder="1" applyAlignment="1">
      <alignment horizontal="center"/>
    </xf>
    <xf numFmtId="43" fontId="0" fillId="0" borderId="0" xfId="1" applyFont="1"/>
    <xf numFmtId="43" fontId="0" fillId="0" borderId="0" xfId="1" applyFont="1" applyAlignment="1">
      <alignment horizontal="center"/>
    </xf>
    <xf numFmtId="169" fontId="4" fillId="4" borderId="0" xfId="2" applyNumberFormat="1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43" fontId="0" fillId="2" borderId="0" xfId="1" applyFont="1" applyFill="1"/>
    <xf numFmtId="164" fontId="5" fillId="5" borderId="22" xfId="1" applyNumberFormat="1" applyFont="1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169" fontId="5" fillId="5" borderId="8" xfId="2" applyNumberFormat="1" applyFont="1" applyFill="1" applyBorder="1" applyAlignment="1">
      <alignment horizontal="center"/>
    </xf>
    <xf numFmtId="169" fontId="0" fillId="2" borderId="8" xfId="2" applyNumberFormat="1" applyFont="1" applyFill="1" applyBorder="1" applyAlignment="1">
      <alignment horizontal="center"/>
    </xf>
    <xf numFmtId="0" fontId="0" fillId="2" borderId="26" xfId="0" applyFill="1" applyBorder="1"/>
    <xf numFmtId="169" fontId="4" fillId="2" borderId="11" xfId="2" applyNumberFormat="1" applyFont="1" applyFill="1" applyBorder="1" applyAlignment="1">
      <alignment horizontal="center"/>
    </xf>
    <xf numFmtId="169" fontId="4" fillId="2" borderId="17" xfId="2" applyNumberFormat="1" applyFont="1" applyFill="1" applyBorder="1" applyAlignment="1">
      <alignment horizontal="center"/>
    </xf>
    <xf numFmtId="0" fontId="12" fillId="2" borderId="27" xfId="0" applyFont="1" applyFill="1" applyBorder="1" applyAlignment="1">
      <alignment horizontal="center"/>
    </xf>
    <xf numFmtId="169" fontId="4" fillId="2" borderId="26" xfId="2" applyNumberFormat="1" applyFont="1" applyFill="1" applyBorder="1" applyAlignment="1">
      <alignment horizontal="center"/>
    </xf>
    <xf numFmtId="169" fontId="4" fillId="2" borderId="28" xfId="2" applyNumberFormat="1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167" fontId="2" fillId="10" borderId="9" xfId="1" applyNumberFormat="1" applyFont="1" applyFill="1" applyBorder="1" applyAlignment="1">
      <alignment horizontal="center"/>
    </xf>
    <xf numFmtId="167" fontId="0" fillId="2" borderId="0" xfId="0" applyNumberFormat="1" applyFill="1"/>
    <xf numFmtId="164" fontId="0" fillId="2" borderId="0" xfId="1" applyNumberFormat="1" applyFont="1" applyFill="1"/>
    <xf numFmtId="0" fontId="10" fillId="2" borderId="22" xfId="0" applyFont="1" applyFill="1" applyBorder="1" applyAlignment="1">
      <alignment horizontal="center"/>
    </xf>
    <xf numFmtId="164" fontId="5" fillId="10" borderId="22" xfId="1" applyNumberFormat="1" applyFont="1" applyFill="1" applyBorder="1" applyAlignment="1">
      <alignment horizontal="center"/>
    </xf>
    <xf numFmtId="169" fontId="5" fillId="10" borderId="8" xfId="2" applyNumberFormat="1" applyFont="1" applyFill="1" applyBorder="1" applyAlignment="1">
      <alignment horizontal="center"/>
    </xf>
    <xf numFmtId="2" fontId="2" fillId="14" borderId="0" xfId="1" applyNumberFormat="1" applyFont="1" applyFill="1" applyBorder="1" applyAlignment="1">
      <alignment horizontal="center"/>
    </xf>
    <xf numFmtId="169" fontId="4" fillId="2" borderId="0" xfId="2" applyNumberFormat="1" applyFont="1" applyFill="1" applyBorder="1" applyAlignment="1">
      <alignment horizontal="center"/>
    </xf>
    <xf numFmtId="168" fontId="0" fillId="13" borderId="22" xfId="0" applyNumberFormat="1" applyFill="1" applyBorder="1" applyAlignment="1">
      <alignment horizontal="center"/>
    </xf>
    <xf numFmtId="0" fontId="0" fillId="13" borderId="25" xfId="0" applyFill="1" applyBorder="1" applyAlignment="1">
      <alignment horizontal="center"/>
    </xf>
    <xf numFmtId="169" fontId="4" fillId="2" borderId="20" xfId="2" applyNumberFormat="1" applyFont="1" applyFill="1" applyBorder="1" applyAlignment="1">
      <alignment horizontal="center"/>
    </xf>
    <xf numFmtId="0" fontId="0" fillId="0" borderId="26" xfId="0" applyBorder="1"/>
    <xf numFmtId="49" fontId="10" fillId="13" borderId="12" xfId="0" applyNumberFormat="1" applyFont="1" applyFill="1" applyBorder="1"/>
    <xf numFmtId="0" fontId="10" fillId="13" borderId="13" xfId="0" applyFont="1" applyFill="1" applyBorder="1"/>
    <xf numFmtId="49" fontId="0" fillId="2" borderId="19" xfId="0" applyNumberFormat="1" applyFill="1" applyBorder="1"/>
    <xf numFmtId="0" fontId="2" fillId="12" borderId="27" xfId="0" applyFont="1" applyFill="1" applyBorder="1"/>
    <xf numFmtId="164" fontId="5" fillId="14" borderId="22" xfId="1" applyNumberFormat="1" applyFont="1" applyFill="1" applyBorder="1" applyAlignment="1">
      <alignment horizontal="center"/>
    </xf>
    <xf numFmtId="169" fontId="5" fillId="14" borderId="8" xfId="2" applyNumberFormat="1" applyFont="1" applyFill="1" applyBorder="1" applyAlignment="1">
      <alignment horizontal="center"/>
    </xf>
    <xf numFmtId="167" fontId="5" fillId="10" borderId="22" xfId="1" applyNumberFormat="1" applyFont="1" applyFill="1" applyBorder="1" applyAlignment="1">
      <alignment horizontal="center"/>
    </xf>
    <xf numFmtId="49" fontId="4" fillId="2" borderId="14" xfId="0" applyNumberFormat="1" applyFont="1" applyFill="1" applyBorder="1" applyAlignment="1">
      <alignment horizontal="center"/>
    </xf>
    <xf numFmtId="0" fontId="4" fillId="0" borderId="0" xfId="0" applyFont="1"/>
  </cellXfs>
  <cellStyles count="10">
    <cellStyle name="Moeda" xfId="2" builtinId="4"/>
    <cellStyle name="Moeda 2" xfId="9" xr:uid="{01F3C453-B0C2-4C6C-9F02-9923135C562E}"/>
    <cellStyle name="Normal" xfId="0" builtinId="0"/>
    <cellStyle name="Normal 2" xfId="3" xr:uid="{02D8075B-CA6C-4F46-8554-44BA32A92C84}"/>
    <cellStyle name="normal 2 2" xfId="4" xr:uid="{568A4A00-011B-4AD1-91BB-5B0A21901021}"/>
    <cellStyle name="Normal 2 3" xfId="6" xr:uid="{791DC67F-FE59-4946-ABD5-D1EE6357E232}"/>
    <cellStyle name="Nota 2" xfId="7" xr:uid="{9284B4F2-4ADE-4771-9C59-230C1D770911}"/>
    <cellStyle name="Vírgula" xfId="1" builtinId="3"/>
    <cellStyle name="Vírgula 2" xfId="8" xr:uid="{952522B1-8FFF-4EB4-BE8D-726259E6410D}"/>
    <cellStyle name="Vírgula 3" xfId="5" xr:uid="{6631DA8F-D9EF-4EC8-93D8-D3B2F4E7CD45}"/>
  </cellStyles>
  <dxfs count="0"/>
  <tableStyles count="1" defaultTableStyle="TableStyleMedium2" defaultPivotStyle="PivotStyleLight16">
    <tableStyle name="Invisible" pivot="0" table="0" count="0" xr9:uid="{3BBD26F2-FD7B-4D17-8322-D911BAF3346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81FF4-35E9-442B-841F-DD1A933DB13C}">
  <sheetPr>
    <tabColor rgb="FF92D050"/>
  </sheetPr>
  <dimension ref="A1:L28"/>
  <sheetViews>
    <sheetView tabSelected="1" zoomScaleNormal="100" workbookViewId="0">
      <selection activeCell="K1" sqref="K1:L1048576"/>
    </sheetView>
  </sheetViews>
  <sheetFormatPr defaultRowHeight="15" x14ac:dyDescent="0.25"/>
  <cols>
    <col min="1" max="1" width="12" style="22" customWidth="1"/>
    <col min="2" max="2" width="33" bestFit="1" customWidth="1"/>
    <col min="3" max="3" width="18.42578125" bestFit="1" customWidth="1"/>
    <col min="4" max="4" width="12.28515625" customWidth="1"/>
    <col min="5" max="5" width="12.140625" bestFit="1" customWidth="1"/>
    <col min="6" max="6" width="11.5703125" bestFit="1" customWidth="1"/>
    <col min="7" max="7" width="12.5703125" bestFit="1" customWidth="1"/>
    <col min="8" max="8" width="15.85546875" customWidth="1"/>
    <col min="9" max="10" width="13.85546875" style="76" customWidth="1"/>
    <col min="11" max="12" width="15.5703125" customWidth="1"/>
    <col min="13" max="13" width="10.5703125" customWidth="1"/>
  </cols>
  <sheetData>
    <row r="1" spans="1:12" s="74" customFormat="1" ht="60" x14ac:dyDescent="0.25">
      <c r="A1" s="72" t="s">
        <v>0</v>
      </c>
      <c r="B1" s="72" t="s">
        <v>1</v>
      </c>
      <c r="C1" s="73" t="s">
        <v>2</v>
      </c>
      <c r="D1" s="73" t="s">
        <v>3</v>
      </c>
      <c r="E1" s="73" t="s">
        <v>4</v>
      </c>
      <c r="F1" s="73" t="s">
        <v>5</v>
      </c>
      <c r="G1" s="73" t="s">
        <v>6</v>
      </c>
      <c r="H1" s="114" t="s">
        <v>7</v>
      </c>
      <c r="I1" s="113" t="s">
        <v>8</v>
      </c>
      <c r="J1" s="113" t="s">
        <v>9</v>
      </c>
      <c r="K1" s="73" t="s">
        <v>10</v>
      </c>
      <c r="L1" s="73" t="s">
        <v>11</v>
      </c>
    </row>
    <row r="2" spans="1:12" x14ac:dyDescent="0.25">
      <c r="A2" t="s">
        <v>12</v>
      </c>
      <c r="B2" t="s">
        <v>13</v>
      </c>
      <c r="C2" s="75" t="s">
        <v>14</v>
      </c>
      <c r="D2" s="76">
        <v>5.0999999999999996</v>
      </c>
      <c r="E2" s="77">
        <v>45462</v>
      </c>
      <c r="F2" s="78">
        <v>108243</v>
      </c>
      <c r="G2">
        <v>12152</v>
      </c>
      <c r="H2" s="75" t="s">
        <v>14</v>
      </c>
      <c r="I2" s="76">
        <v>5.0999999999999996</v>
      </c>
      <c r="J2" s="76">
        <f t="shared" ref="J2:J21" si="0">+I2*$L$4</f>
        <v>4.6282499999999995</v>
      </c>
      <c r="K2">
        <f>1.65+7.6+7</f>
        <v>16.25</v>
      </c>
      <c r="L2">
        <f>1.65+7.6</f>
        <v>9.25</v>
      </c>
    </row>
    <row r="3" spans="1:12" x14ac:dyDescent="0.25">
      <c r="A3" t="s">
        <v>15</v>
      </c>
      <c r="B3" t="s">
        <v>16</v>
      </c>
      <c r="C3" s="75" t="s">
        <v>17</v>
      </c>
      <c r="D3" s="76">
        <v>7.2999999999999995E-2</v>
      </c>
      <c r="E3" s="77">
        <v>44944</v>
      </c>
      <c r="F3" s="78">
        <v>1266</v>
      </c>
      <c r="G3">
        <v>11312</v>
      </c>
      <c r="H3" s="75" t="s">
        <v>14</v>
      </c>
      <c r="I3" s="76">
        <v>7.2999999999999995E-2</v>
      </c>
      <c r="J3" s="76">
        <f t="shared" si="0"/>
        <v>6.6247500000000001E-2</v>
      </c>
      <c r="K3">
        <f>100-K2</f>
        <v>83.75</v>
      </c>
      <c r="L3">
        <f>100-L2</f>
        <v>90.75</v>
      </c>
    </row>
    <row r="4" spans="1:12" x14ac:dyDescent="0.25">
      <c r="A4" t="s">
        <v>18</v>
      </c>
      <c r="B4" t="s">
        <v>19</v>
      </c>
      <c r="C4" t="s">
        <v>20</v>
      </c>
      <c r="D4" s="79" t="s">
        <v>21</v>
      </c>
      <c r="E4" s="77" t="s">
        <v>21</v>
      </c>
      <c r="F4" s="78" t="s">
        <v>21</v>
      </c>
      <c r="H4" s="78" t="s">
        <v>21</v>
      </c>
      <c r="J4" s="76">
        <f t="shared" si="0"/>
        <v>0</v>
      </c>
      <c r="K4" s="152">
        <f>+K3/100</f>
        <v>0.83750000000000002</v>
      </c>
      <c r="L4" s="152">
        <f>+L3/100</f>
        <v>0.90749999999999997</v>
      </c>
    </row>
    <row r="5" spans="1:12" x14ac:dyDescent="0.25">
      <c r="A5" t="s">
        <v>22</v>
      </c>
      <c r="B5" t="s">
        <v>23</v>
      </c>
      <c r="C5" t="s">
        <v>20</v>
      </c>
      <c r="D5" s="79" t="s">
        <v>21</v>
      </c>
      <c r="E5" s="77" t="s">
        <v>21</v>
      </c>
      <c r="F5" s="78" t="s">
        <v>21</v>
      </c>
      <c r="H5" s="78" t="s">
        <v>21</v>
      </c>
      <c r="J5" s="76">
        <f t="shared" si="0"/>
        <v>0</v>
      </c>
    </row>
    <row r="6" spans="1:12" x14ac:dyDescent="0.25">
      <c r="A6" t="s">
        <v>24</v>
      </c>
      <c r="B6" t="s">
        <v>25</v>
      </c>
      <c r="C6" t="s">
        <v>20</v>
      </c>
      <c r="D6" s="79" t="s">
        <v>21</v>
      </c>
      <c r="E6" s="77" t="s">
        <v>21</v>
      </c>
      <c r="F6" s="78" t="s">
        <v>21</v>
      </c>
      <c r="H6" s="78" t="s">
        <v>21</v>
      </c>
      <c r="J6" s="76">
        <f t="shared" si="0"/>
        <v>0</v>
      </c>
    </row>
    <row r="7" spans="1:12" x14ac:dyDescent="0.25">
      <c r="A7" t="s">
        <v>26</v>
      </c>
      <c r="B7" t="s">
        <v>27</v>
      </c>
      <c r="C7" s="75" t="s">
        <v>17</v>
      </c>
      <c r="D7" s="76">
        <v>8.5999999999999993E-2</v>
      </c>
      <c r="E7" s="77">
        <v>45379</v>
      </c>
      <c r="F7" s="78">
        <v>14660</v>
      </c>
      <c r="G7">
        <v>10112</v>
      </c>
      <c r="H7" s="75" t="s">
        <v>14</v>
      </c>
      <c r="I7" s="76">
        <v>8.5999999999999993E-2</v>
      </c>
      <c r="J7" s="76">
        <f t="shared" si="0"/>
        <v>7.8044999999999989E-2</v>
      </c>
    </row>
    <row r="8" spans="1:12" x14ac:dyDescent="0.25">
      <c r="A8" t="s">
        <v>28</v>
      </c>
      <c r="B8" t="s">
        <v>29</v>
      </c>
      <c r="C8" s="75" t="s">
        <v>17</v>
      </c>
      <c r="D8" s="76">
        <v>8.5999999999999993E-2</v>
      </c>
      <c r="E8" s="77">
        <v>45379</v>
      </c>
      <c r="F8" s="78">
        <v>14660</v>
      </c>
      <c r="G8">
        <v>10112</v>
      </c>
      <c r="H8" s="75" t="s">
        <v>14</v>
      </c>
      <c r="I8" s="76">
        <v>8.5999999999999993E-2</v>
      </c>
      <c r="J8" s="76">
        <f t="shared" si="0"/>
        <v>7.8044999999999989E-2</v>
      </c>
    </row>
    <row r="9" spans="1:12" x14ac:dyDescent="0.25">
      <c r="A9" t="s">
        <v>30</v>
      </c>
      <c r="B9" t="s">
        <v>31</v>
      </c>
      <c r="C9" s="75" t="s">
        <v>17</v>
      </c>
      <c r="D9" s="76">
        <v>8.5999999999999993E-2</v>
      </c>
      <c r="E9" s="77">
        <v>45379</v>
      </c>
      <c r="F9" s="78">
        <v>14660</v>
      </c>
      <c r="G9">
        <v>10112</v>
      </c>
      <c r="H9" s="75" t="s">
        <v>14</v>
      </c>
      <c r="I9" s="76">
        <v>8.5999999999999993E-2</v>
      </c>
      <c r="J9" s="76">
        <f t="shared" si="0"/>
        <v>7.8044999999999989E-2</v>
      </c>
    </row>
    <row r="10" spans="1:12" x14ac:dyDescent="0.25">
      <c r="A10" t="s">
        <v>32</v>
      </c>
      <c r="B10" t="s">
        <v>33</v>
      </c>
      <c r="C10" t="s">
        <v>20</v>
      </c>
      <c r="D10" s="79" t="s">
        <v>21</v>
      </c>
      <c r="E10" s="77" t="s">
        <v>21</v>
      </c>
      <c r="F10" s="78" t="s">
        <v>21</v>
      </c>
      <c r="H10" s="75" t="s">
        <v>14</v>
      </c>
      <c r="I10" s="76">
        <v>8.5999999999999993E-2</v>
      </c>
      <c r="J10" s="76">
        <f t="shared" si="0"/>
        <v>7.8044999999999989E-2</v>
      </c>
    </row>
    <row r="11" spans="1:12" x14ac:dyDescent="0.25">
      <c r="A11" t="s">
        <v>34</v>
      </c>
      <c r="B11" t="s">
        <v>35</v>
      </c>
      <c r="C11" s="75" t="s">
        <v>17</v>
      </c>
      <c r="D11" s="76">
        <v>9.6000000000000002E-2</v>
      </c>
      <c r="E11" s="77">
        <v>45351</v>
      </c>
      <c r="F11" s="78">
        <v>1846</v>
      </c>
      <c r="G11">
        <v>11312</v>
      </c>
      <c r="H11" s="75" t="s">
        <v>14</v>
      </c>
      <c r="I11" s="76">
        <v>9.6000000000000002E-2</v>
      </c>
      <c r="J11" s="76">
        <f t="shared" si="0"/>
        <v>8.7120000000000003E-2</v>
      </c>
    </row>
    <row r="12" spans="1:12" x14ac:dyDescent="0.25">
      <c r="A12" t="s">
        <v>36</v>
      </c>
      <c r="B12" t="s">
        <v>37</v>
      </c>
      <c r="C12" s="75" t="s">
        <v>38</v>
      </c>
      <c r="D12" s="76" t="s">
        <v>39</v>
      </c>
      <c r="E12" s="77">
        <v>45379</v>
      </c>
      <c r="F12" s="78" t="s">
        <v>40</v>
      </c>
      <c r="G12" t="s">
        <v>41</v>
      </c>
      <c r="H12" s="75" t="s">
        <v>14</v>
      </c>
      <c r="I12" s="80">
        <v>6.2</v>
      </c>
      <c r="J12" s="76">
        <f t="shared" si="0"/>
        <v>5.6265000000000001</v>
      </c>
    </row>
    <row r="13" spans="1:12" x14ac:dyDescent="0.25">
      <c r="A13" t="s">
        <v>42</v>
      </c>
      <c r="B13" t="s">
        <v>43</v>
      </c>
      <c r="C13" s="75" t="s">
        <v>17</v>
      </c>
      <c r="D13" s="76">
        <v>0.109</v>
      </c>
      <c r="E13" s="77">
        <v>45443</v>
      </c>
      <c r="F13" s="78">
        <v>67524</v>
      </c>
      <c r="G13">
        <v>10825</v>
      </c>
      <c r="H13" s="75" t="s">
        <v>14</v>
      </c>
      <c r="I13" s="76">
        <v>0.06</v>
      </c>
      <c r="J13" s="76">
        <f t="shared" si="0"/>
        <v>5.4449999999999998E-2</v>
      </c>
    </row>
    <row r="14" spans="1:12" x14ac:dyDescent="0.25">
      <c r="A14" t="s">
        <v>44</v>
      </c>
      <c r="B14" t="s">
        <v>45</v>
      </c>
      <c r="C14" s="78" t="s">
        <v>46</v>
      </c>
      <c r="D14" s="81">
        <f>48/300</f>
        <v>0.16</v>
      </c>
      <c r="E14" s="77">
        <v>45350</v>
      </c>
      <c r="F14" s="78">
        <v>22152</v>
      </c>
      <c r="G14">
        <v>14498</v>
      </c>
      <c r="H14" s="75" t="s">
        <v>47</v>
      </c>
      <c r="I14" s="81">
        <f>0.032</f>
        <v>3.2000000000000001E-2</v>
      </c>
      <c r="J14" s="76">
        <f t="shared" si="0"/>
        <v>2.904E-2</v>
      </c>
    </row>
    <row r="15" spans="1:12" x14ac:dyDescent="0.25">
      <c r="A15" t="s">
        <v>48</v>
      </c>
      <c r="B15" t="s">
        <v>49</v>
      </c>
      <c r="C15" s="78" t="s">
        <v>46</v>
      </c>
      <c r="D15" s="81">
        <f>5.6/100</f>
        <v>5.5999999999999994E-2</v>
      </c>
      <c r="E15" s="77">
        <v>45453</v>
      </c>
      <c r="F15" s="78">
        <v>7765</v>
      </c>
      <c r="G15">
        <v>11427</v>
      </c>
      <c r="H15" s="75" t="s">
        <v>47</v>
      </c>
      <c r="I15" s="81">
        <f>5.6/100</f>
        <v>5.5999999999999994E-2</v>
      </c>
      <c r="J15" s="76">
        <f t="shared" si="0"/>
        <v>5.081999999999999E-2</v>
      </c>
    </row>
    <row r="16" spans="1:12" x14ac:dyDescent="0.25">
      <c r="A16" t="s">
        <v>50</v>
      </c>
      <c r="B16" t="s">
        <v>51</v>
      </c>
      <c r="C16" s="78" t="s">
        <v>52</v>
      </c>
      <c r="D16" s="81">
        <v>9.6000000000000002E-2</v>
      </c>
      <c r="E16" s="77">
        <v>45379</v>
      </c>
      <c r="F16" s="78">
        <v>8617</v>
      </c>
      <c r="G16">
        <v>10212</v>
      </c>
      <c r="H16" s="75" t="s">
        <v>14</v>
      </c>
      <c r="I16" s="81">
        <v>9.6000000000000002E-2</v>
      </c>
      <c r="J16" s="76">
        <f t="shared" si="0"/>
        <v>8.7120000000000003E-2</v>
      </c>
    </row>
    <row r="17" spans="1:10" x14ac:dyDescent="0.25">
      <c r="A17" s="22" t="s">
        <v>53</v>
      </c>
      <c r="B17" t="s">
        <v>54</v>
      </c>
      <c r="C17" s="78" t="s">
        <v>52</v>
      </c>
      <c r="D17" s="81">
        <v>6.4000000000000001E-2</v>
      </c>
      <c r="E17" s="77">
        <v>45264</v>
      </c>
      <c r="F17" s="78">
        <v>8156</v>
      </c>
      <c r="G17">
        <v>10212</v>
      </c>
      <c r="H17" s="75" t="s">
        <v>14</v>
      </c>
      <c r="I17" s="81">
        <v>6.4000000000000001E-2</v>
      </c>
      <c r="J17" s="76">
        <f t="shared" si="0"/>
        <v>5.808E-2</v>
      </c>
    </row>
    <row r="18" spans="1:10" x14ac:dyDescent="0.25">
      <c r="A18" t="s">
        <v>55</v>
      </c>
      <c r="B18" t="s">
        <v>56</v>
      </c>
      <c r="C18" s="78" t="s">
        <v>46</v>
      </c>
      <c r="D18" s="81">
        <f>320/3000</f>
        <v>0.10666666666666667</v>
      </c>
      <c r="E18" s="77">
        <v>45350</v>
      </c>
      <c r="F18" s="78">
        <v>128237</v>
      </c>
      <c r="G18">
        <v>11413</v>
      </c>
      <c r="H18" s="75" t="s">
        <v>47</v>
      </c>
      <c r="I18" s="81">
        <f>320/3000</f>
        <v>0.10666666666666667</v>
      </c>
      <c r="J18" s="76">
        <f t="shared" si="0"/>
        <v>9.6799999999999997E-2</v>
      </c>
    </row>
    <row r="19" spans="1:10" x14ac:dyDescent="0.25">
      <c r="A19" t="s">
        <v>57</v>
      </c>
      <c r="B19" t="s">
        <v>58</v>
      </c>
      <c r="C19" s="78" t="s">
        <v>17</v>
      </c>
      <c r="D19" s="79">
        <v>1.2330000000000001</v>
      </c>
      <c r="E19" s="77">
        <v>44812</v>
      </c>
      <c r="F19" s="78">
        <v>14904</v>
      </c>
      <c r="G19">
        <v>12851</v>
      </c>
      <c r="H19" s="75" t="s">
        <v>14</v>
      </c>
      <c r="I19" s="79">
        <v>1.2330000000000001</v>
      </c>
      <c r="J19" s="76">
        <f t="shared" si="0"/>
        <v>1.1189475</v>
      </c>
    </row>
    <row r="20" spans="1:10" x14ac:dyDescent="0.25">
      <c r="A20" t="s">
        <v>59</v>
      </c>
      <c r="B20" t="s">
        <v>60</v>
      </c>
      <c r="C20" s="78" t="s">
        <v>61</v>
      </c>
      <c r="D20" s="79">
        <v>1.45</v>
      </c>
      <c r="E20" s="77">
        <v>45240</v>
      </c>
      <c r="F20" s="78">
        <v>286</v>
      </c>
      <c r="G20">
        <v>13057</v>
      </c>
      <c r="H20" s="75" t="s">
        <v>14</v>
      </c>
      <c r="I20" s="79">
        <v>1.45</v>
      </c>
      <c r="J20" s="76">
        <f t="shared" si="0"/>
        <v>1.3158749999999999</v>
      </c>
    </row>
    <row r="21" spans="1:10" x14ac:dyDescent="0.25">
      <c r="A21" s="22" t="s">
        <v>62</v>
      </c>
      <c r="B21" t="s">
        <v>63</v>
      </c>
      <c r="C21" s="78" t="s">
        <v>17</v>
      </c>
      <c r="D21" s="79">
        <f>10584/10000</f>
        <v>1.0584</v>
      </c>
      <c r="E21" s="77">
        <v>45381</v>
      </c>
      <c r="F21" s="78">
        <v>1363</v>
      </c>
      <c r="G21">
        <v>11312</v>
      </c>
      <c r="H21" s="75" t="s">
        <v>14</v>
      </c>
      <c r="I21" s="79">
        <f>10584/10000</f>
        <v>1.0584</v>
      </c>
      <c r="J21" s="76">
        <f t="shared" si="0"/>
        <v>0.96049799999999996</v>
      </c>
    </row>
    <row r="22" spans="1:10" x14ac:dyDescent="0.25">
      <c r="A22" s="26" t="s">
        <v>64</v>
      </c>
      <c r="B22" s="27" t="s">
        <v>65</v>
      </c>
      <c r="C22" s="78" t="s">
        <v>66</v>
      </c>
      <c r="D22" s="79"/>
      <c r="E22" s="77"/>
      <c r="F22" s="78"/>
      <c r="H22" s="75"/>
      <c r="I22" s="79">
        <f>SUM(I23:I24)</f>
        <v>0.55324079999999998</v>
      </c>
      <c r="J22" s="76">
        <f>+I22*$L$4</f>
        <v>0.50206602599999994</v>
      </c>
    </row>
    <row r="23" spans="1:10" x14ac:dyDescent="0.25">
      <c r="A23" s="66" t="s">
        <v>67</v>
      </c>
      <c r="B23" s="67" t="s">
        <v>68</v>
      </c>
      <c r="C23" s="75" t="s">
        <v>69</v>
      </c>
      <c r="D23" s="76">
        <f>13.0208/1000</f>
        <v>1.3020799999999999E-2</v>
      </c>
      <c r="E23" s="77">
        <v>45412</v>
      </c>
      <c r="F23" s="78">
        <v>15158</v>
      </c>
      <c r="G23">
        <v>12519</v>
      </c>
      <c r="H23" s="75" t="s">
        <v>70</v>
      </c>
      <c r="I23" s="76">
        <f>13.0208/1000</f>
        <v>1.3020799999999999E-2</v>
      </c>
      <c r="J23" s="76">
        <f>+I23*$L$4</f>
        <v>1.1816375999999998E-2</v>
      </c>
    </row>
    <row r="24" spans="1:10" ht="15.75" thickBot="1" x14ac:dyDescent="0.3">
      <c r="A24" s="69" t="s">
        <v>71</v>
      </c>
      <c r="B24" s="70" t="s">
        <v>72</v>
      </c>
      <c r="C24" s="75" t="s">
        <v>17</v>
      </c>
      <c r="D24" s="82">
        <f>540.22/1000</f>
        <v>0.54022000000000003</v>
      </c>
      <c r="E24" s="77">
        <v>45462</v>
      </c>
      <c r="F24" s="78">
        <v>2054</v>
      </c>
      <c r="G24">
        <v>11312</v>
      </c>
      <c r="H24" s="75" t="s">
        <v>14</v>
      </c>
      <c r="I24" s="82">
        <f>540.22/1000</f>
        <v>0.54022000000000003</v>
      </c>
      <c r="J24" s="76">
        <f>+I24*$L$4</f>
        <v>0.49024965000000004</v>
      </c>
    </row>
    <row r="25" spans="1:10" x14ac:dyDescent="0.25">
      <c r="A25" s="22" t="s">
        <v>73</v>
      </c>
      <c r="B25" t="s">
        <v>74</v>
      </c>
      <c r="C25" s="75" t="s">
        <v>69</v>
      </c>
      <c r="D25" s="112">
        <v>1</v>
      </c>
      <c r="E25" s="77"/>
      <c r="H25" s="75" t="s">
        <v>69</v>
      </c>
      <c r="I25" s="76">
        <v>7.79</v>
      </c>
      <c r="J25" s="76">
        <f>+I25*$L$4</f>
        <v>7.0694249999999998</v>
      </c>
    </row>
    <row r="26" spans="1:10" x14ac:dyDescent="0.25">
      <c r="A26" t="s">
        <v>75</v>
      </c>
      <c r="B26" t="s">
        <v>76</v>
      </c>
      <c r="C26" s="78" t="s">
        <v>77</v>
      </c>
      <c r="D26" s="111">
        <v>0.33</v>
      </c>
      <c r="E26" s="77"/>
      <c r="H26" s="75" t="s">
        <v>69</v>
      </c>
      <c r="I26" s="76">
        <f>(D25/D26)*I25</f>
        <v>23.606060606060606</v>
      </c>
      <c r="J26" s="76">
        <f>+I26*$L$4</f>
        <v>21.422499999999999</v>
      </c>
    </row>
    <row r="27" spans="1:10" x14ac:dyDescent="0.25">
      <c r="A27" t="s">
        <v>78</v>
      </c>
      <c r="B27" t="s">
        <v>79</v>
      </c>
      <c r="C27" s="78" t="s">
        <v>77</v>
      </c>
      <c r="D27" s="111">
        <v>0.67</v>
      </c>
      <c r="H27" s="75" t="s">
        <v>69</v>
      </c>
      <c r="I27" s="76">
        <f>(D25/D27)*I25</f>
        <v>11.62686567164179</v>
      </c>
      <c r="J27" s="76">
        <f>+I27*$L$4</f>
        <v>10.551380597014925</v>
      </c>
    </row>
    <row r="28" spans="1:10" x14ac:dyDescent="0.25">
      <c r="A28" s="22" t="s">
        <v>80</v>
      </c>
      <c r="B28" t="s">
        <v>81</v>
      </c>
      <c r="C28" s="78" t="s">
        <v>77</v>
      </c>
      <c r="D28" s="111">
        <v>0.95</v>
      </c>
      <c r="H28" s="75" t="s">
        <v>69</v>
      </c>
      <c r="I28" s="76">
        <f>(D25/D28)*I25</f>
        <v>8.1999999999999993</v>
      </c>
      <c r="J28" s="76">
        <f>+I28*$L$4</f>
        <v>7.4414999999999996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7AFB6-57D3-4815-A95E-7F2F817BAB8C}">
  <sheetPr>
    <tabColor rgb="FFC00000"/>
  </sheetPr>
  <dimension ref="A1:M187"/>
  <sheetViews>
    <sheetView zoomScale="90" zoomScaleNormal="90" workbookViewId="0">
      <pane ySplit="3" topLeftCell="A4" activePane="bottomLeft" state="frozen"/>
      <selection pane="bottomLeft" activeCell="D8" sqref="D8"/>
    </sheetView>
  </sheetViews>
  <sheetFormatPr defaultColWidth="9.140625" defaultRowHeight="15" outlineLevelRow="1" x14ac:dyDescent="0.25"/>
  <cols>
    <col min="1" max="1" width="20.7109375" style="39" customWidth="1"/>
    <col min="2" max="2" width="42.85546875" style="37" customWidth="1"/>
    <col min="3" max="3" width="17.7109375" style="37" customWidth="1"/>
    <col min="4" max="4" width="13.5703125" style="25" customWidth="1"/>
    <col min="5" max="5" width="19" style="98" customWidth="1"/>
    <col min="6" max="6" width="16.42578125" style="85" customWidth="1"/>
    <col min="7" max="7" width="9.140625" style="37"/>
    <col min="8" max="8" width="12" style="37" bestFit="1" customWidth="1"/>
    <col min="9" max="12" width="9.140625" style="37"/>
    <col min="13" max="13" width="12.140625" style="37" bestFit="1" customWidth="1"/>
    <col min="14" max="16384" width="9.140625" style="37"/>
  </cols>
  <sheetData>
    <row r="1" spans="1:8" x14ac:dyDescent="0.25">
      <c r="A1" s="1"/>
      <c r="B1" s="2" t="s">
        <v>82</v>
      </c>
      <c r="C1" s="3">
        <v>45471</v>
      </c>
      <c r="D1" s="4"/>
      <c r="E1" s="94"/>
      <c r="F1" s="83"/>
    </row>
    <row r="2" spans="1:8" x14ac:dyDescent="0.25">
      <c r="A2" s="1"/>
      <c r="B2" s="5"/>
      <c r="C2" s="5"/>
      <c r="D2" s="4"/>
      <c r="E2" s="94"/>
      <c r="F2" s="83"/>
    </row>
    <row r="3" spans="1:8" ht="15.75" thickBot="1" x14ac:dyDescent="0.3">
      <c r="A3" s="6" t="s">
        <v>83</v>
      </c>
      <c r="B3" s="7" t="s">
        <v>84</v>
      </c>
      <c r="C3" s="8" t="s">
        <v>85</v>
      </c>
      <c r="D3" s="7" t="s">
        <v>86</v>
      </c>
      <c r="E3" s="7" t="s">
        <v>87</v>
      </c>
      <c r="F3" s="7" t="s">
        <v>88</v>
      </c>
    </row>
    <row r="4" spans="1:8" ht="15.75" thickTop="1" x14ac:dyDescent="0.25">
      <c r="A4" s="9"/>
      <c r="B4" s="4"/>
      <c r="C4" s="4"/>
      <c r="D4" s="4"/>
      <c r="E4" s="94"/>
      <c r="F4" s="83"/>
    </row>
    <row r="5" spans="1:8" ht="15.75" thickBot="1" x14ac:dyDescent="0.3">
      <c r="A5" s="10" t="s">
        <v>89</v>
      </c>
      <c r="B5" s="11"/>
      <c r="C5" s="4"/>
      <c r="D5" s="4"/>
      <c r="E5" s="94"/>
      <c r="F5" s="21"/>
    </row>
    <row r="6" spans="1:8" ht="15.75" thickBot="1" x14ac:dyDescent="0.3">
      <c r="A6" s="12"/>
      <c r="B6" s="12" t="s">
        <v>90</v>
      </c>
      <c r="C6" s="4"/>
      <c r="D6" s="13"/>
      <c r="F6" s="21"/>
    </row>
    <row r="7" spans="1:8" x14ac:dyDescent="0.25">
      <c r="A7" s="14" t="s">
        <v>91</v>
      </c>
      <c r="B7" s="15" t="s">
        <v>92</v>
      </c>
      <c r="C7" s="16" t="s">
        <v>93</v>
      </c>
      <c r="D7" s="17">
        <v>5</v>
      </c>
      <c r="E7" s="95"/>
      <c r="F7" s="21"/>
    </row>
    <row r="8" spans="1:8" x14ac:dyDescent="0.25">
      <c r="A8" s="18" t="s">
        <v>75</v>
      </c>
      <c r="B8" s="19" t="s">
        <v>94</v>
      </c>
      <c r="C8" s="20" t="s">
        <v>95</v>
      </c>
      <c r="D8" s="116">
        <v>0.33</v>
      </c>
      <c r="E8" s="121" t="e">
        <f>VLOOKUP(A8,'custo unitário INSUMOS'!A:J,11,0)*D7</f>
        <v>#REF!</v>
      </c>
      <c r="F8" s="21"/>
      <c r="G8" s="53"/>
      <c r="H8" s="100"/>
    </row>
    <row r="9" spans="1:8" x14ac:dyDescent="0.25">
      <c r="A9" s="23" t="s">
        <v>12</v>
      </c>
      <c r="B9" s="24" t="s">
        <v>13</v>
      </c>
      <c r="C9" s="24" t="s">
        <v>96</v>
      </c>
      <c r="D9" s="117">
        <v>1</v>
      </c>
      <c r="E9" s="122" t="e">
        <f>VLOOKUP(A9,'custo unitário INSUMOS'!A:J,11,0)*D9</f>
        <v>#REF!</v>
      </c>
      <c r="F9" s="21"/>
    </row>
    <row r="10" spans="1:8" x14ac:dyDescent="0.25">
      <c r="A10" s="26" t="s">
        <v>64</v>
      </c>
      <c r="B10" s="27" t="s">
        <v>65</v>
      </c>
      <c r="C10" s="28" t="s">
        <v>96</v>
      </c>
      <c r="D10" s="118">
        <v>1</v>
      </c>
      <c r="E10" s="122" t="e">
        <f>VLOOKUP(A10,'custo unitário INSUMOS'!A:J,11,0)*D10</f>
        <v>#REF!</v>
      </c>
      <c r="F10" s="84"/>
    </row>
    <row r="11" spans="1:8" x14ac:dyDescent="0.25">
      <c r="A11" s="29" t="s">
        <v>42</v>
      </c>
      <c r="B11" s="30" t="s">
        <v>43</v>
      </c>
      <c r="C11" s="30" t="s">
        <v>97</v>
      </c>
      <c r="D11" s="119">
        <v>3</v>
      </c>
      <c r="E11" s="122" t="e">
        <f>VLOOKUP(A11,'custo unitário INSUMOS'!A:J,11,0)*D11</f>
        <v>#REF!</v>
      </c>
      <c r="F11" s="84"/>
    </row>
    <row r="12" spans="1:8" x14ac:dyDescent="0.25">
      <c r="A12" s="31" t="s">
        <v>44</v>
      </c>
      <c r="B12" s="28" t="s">
        <v>45</v>
      </c>
      <c r="C12" s="28" t="s">
        <v>98</v>
      </c>
      <c r="D12" s="118">
        <f>17/100</f>
        <v>0.17</v>
      </c>
      <c r="E12" s="122" t="e">
        <f>VLOOKUP(A12,'custo unitário INSUMOS'!A:J,11,0)*D12</f>
        <v>#REF!</v>
      </c>
      <c r="F12" s="84"/>
    </row>
    <row r="13" spans="1:8" x14ac:dyDescent="0.25">
      <c r="A13" s="31" t="s">
        <v>48</v>
      </c>
      <c r="B13" s="28" t="s">
        <v>49</v>
      </c>
      <c r="C13" s="28" t="s">
        <v>98</v>
      </c>
      <c r="D13" s="118">
        <v>1.35</v>
      </c>
      <c r="E13" s="122" t="e">
        <f>VLOOKUP(A13,'custo unitário INSUMOS'!A:J,11,0)*D13</f>
        <v>#REF!</v>
      </c>
      <c r="F13" s="84"/>
    </row>
    <row r="14" spans="1:8" x14ac:dyDescent="0.25">
      <c r="A14" s="109" t="s">
        <v>30</v>
      </c>
      <c r="B14" s="24" t="s">
        <v>31</v>
      </c>
      <c r="C14" s="24" t="s">
        <v>96</v>
      </c>
      <c r="D14" s="117">
        <v>1</v>
      </c>
      <c r="E14" s="122" t="e">
        <f>VLOOKUP(A14,'custo unitário INSUMOS'!A:J,11,0)*D14</f>
        <v>#REF!</v>
      </c>
      <c r="F14" s="84"/>
    </row>
    <row r="15" spans="1:8" ht="15.75" thickBot="1" x14ac:dyDescent="0.3">
      <c r="A15" s="34" t="s">
        <v>50</v>
      </c>
      <c r="B15" s="35" t="s">
        <v>51</v>
      </c>
      <c r="C15" s="35" t="s">
        <v>96</v>
      </c>
      <c r="D15" s="120">
        <v>1</v>
      </c>
      <c r="E15" s="122" t="e">
        <f>VLOOKUP(A15,'custo unitário INSUMOS'!A:J,11,0)*D15</f>
        <v>#REF!</v>
      </c>
      <c r="F15" s="84"/>
    </row>
    <row r="16" spans="1:8" ht="15.75" thickBot="1" x14ac:dyDescent="0.3">
      <c r="A16" s="151" t="s">
        <v>99</v>
      </c>
      <c r="B16" s="35"/>
      <c r="E16" s="97"/>
      <c r="F16" s="84"/>
    </row>
    <row r="17" spans="1:6" ht="15.75" thickBot="1" x14ac:dyDescent="0.3">
      <c r="A17" s="34" t="s">
        <v>53</v>
      </c>
      <c r="B17" s="35" t="s">
        <v>54</v>
      </c>
      <c r="C17" s="35" t="s">
        <v>96</v>
      </c>
      <c r="D17" s="120">
        <v>2</v>
      </c>
      <c r="E17" s="122" t="e">
        <f>VLOOKUP(A17,'custo unitário INSUMOS'!A:J,11,0)*D17</f>
        <v>#REF!</v>
      </c>
      <c r="F17" s="84"/>
    </row>
    <row r="18" spans="1:6" ht="15.75" thickBot="1" x14ac:dyDescent="0.3">
      <c r="A18" s="1"/>
      <c r="B18" s="5"/>
      <c r="C18" s="5"/>
      <c r="D18" s="37"/>
      <c r="E18" s="94"/>
      <c r="F18" s="83"/>
    </row>
    <row r="19" spans="1:6" x14ac:dyDescent="0.25">
      <c r="A19" s="1"/>
      <c r="B19" s="5"/>
      <c r="C19" s="5" t="s">
        <v>100</v>
      </c>
      <c r="D19" s="129" t="s">
        <v>101</v>
      </c>
      <c r="E19" s="127" t="e">
        <f>SUM(E8:E15)</f>
        <v>#REF!</v>
      </c>
      <c r="F19" s="110" t="e">
        <f>+E19/D7</f>
        <v>#REF!</v>
      </c>
    </row>
    <row r="20" spans="1:6" ht="15.75" thickBot="1" x14ac:dyDescent="0.3">
      <c r="A20" s="1"/>
      <c r="B20" s="5"/>
      <c r="C20" s="5" t="s">
        <v>102</v>
      </c>
      <c r="D20" s="130" t="s">
        <v>101</v>
      </c>
      <c r="E20" s="128" t="e">
        <f>SUM(E8:E14,E17)</f>
        <v>#REF!</v>
      </c>
      <c r="F20" s="124" t="e">
        <f>+E20/D7</f>
        <v>#REF!</v>
      </c>
    </row>
    <row r="21" spans="1:6" ht="15.75" thickBot="1" x14ac:dyDescent="0.3">
      <c r="A21" s="1"/>
      <c r="B21" s="5"/>
      <c r="C21" s="5"/>
      <c r="D21" s="4"/>
      <c r="E21" s="125" t="s">
        <v>103</v>
      </c>
      <c r="F21" s="126" t="s">
        <v>69</v>
      </c>
    </row>
    <row r="22" spans="1:6" ht="15.75" thickBot="1" x14ac:dyDescent="0.3"/>
    <row r="23" spans="1:6" ht="15.75" thickBot="1" x14ac:dyDescent="0.3">
      <c r="A23" s="12" t="s">
        <v>104</v>
      </c>
      <c r="B23" s="12" t="s">
        <v>105</v>
      </c>
      <c r="D23" s="40"/>
      <c r="F23" s="86"/>
    </row>
    <row r="24" spans="1:6" x14ac:dyDescent="0.25">
      <c r="A24" s="14" t="s">
        <v>106</v>
      </c>
      <c r="B24" s="15" t="s">
        <v>107</v>
      </c>
      <c r="C24" s="16" t="s">
        <v>108</v>
      </c>
      <c r="D24" s="17">
        <v>1</v>
      </c>
      <c r="E24" s="95"/>
      <c r="F24" s="21"/>
    </row>
    <row r="25" spans="1:6" x14ac:dyDescent="0.25">
      <c r="A25" s="18" t="s">
        <v>75</v>
      </c>
      <c r="B25" s="19" t="s">
        <v>94</v>
      </c>
      <c r="C25" s="20" t="s">
        <v>95</v>
      </c>
      <c r="D25" s="116">
        <f>+D8</f>
        <v>0.33</v>
      </c>
      <c r="E25" s="121" t="e">
        <f>VLOOKUP(A25,'custo unitário INSUMOS'!A:J,11,0)*D24</f>
        <v>#REF!</v>
      </c>
      <c r="F25" s="21"/>
    </row>
    <row r="26" spans="1:6" x14ac:dyDescent="0.25">
      <c r="A26" s="31" t="s">
        <v>44</v>
      </c>
      <c r="B26" s="28" t="s">
        <v>45</v>
      </c>
      <c r="C26" s="28" t="s">
        <v>98</v>
      </c>
      <c r="D26" s="118">
        <f>17/100</f>
        <v>0.17</v>
      </c>
      <c r="E26" s="122" t="e">
        <f>VLOOKUP(A26,'custo unitário INSUMOS'!A:J,11,0)*D26</f>
        <v>#REF!</v>
      </c>
      <c r="F26" s="84"/>
    </row>
    <row r="27" spans="1:6" x14ac:dyDescent="0.25">
      <c r="A27" s="109" t="s">
        <v>30</v>
      </c>
      <c r="B27" s="42" t="s">
        <v>109</v>
      </c>
      <c r="C27" s="28" t="s">
        <v>96</v>
      </c>
      <c r="D27" s="118">
        <v>1</v>
      </c>
      <c r="E27" s="122" t="e">
        <f>VLOOKUP(A27,'custo unitário INSUMOS'!A:J,11,0)*D27</f>
        <v>#REF!</v>
      </c>
      <c r="F27" s="84"/>
    </row>
    <row r="28" spans="1:6" ht="15.75" thickBot="1" x14ac:dyDescent="0.3">
      <c r="A28" s="43" t="s">
        <v>15</v>
      </c>
      <c r="B28" s="35" t="s">
        <v>16</v>
      </c>
      <c r="C28" s="35" t="s">
        <v>96</v>
      </c>
      <c r="D28" s="120">
        <v>1</v>
      </c>
      <c r="E28" s="122" t="e">
        <f>VLOOKUP(A28,'custo unitário INSUMOS'!A:J,11,0)*D28</f>
        <v>#REF!</v>
      </c>
      <c r="F28" s="84"/>
    </row>
    <row r="29" spans="1:6" ht="15.75" thickBot="1" x14ac:dyDescent="0.3">
      <c r="A29" s="1"/>
      <c r="B29" s="5"/>
      <c r="C29" s="5"/>
      <c r="D29" s="4"/>
      <c r="E29" s="94"/>
      <c r="F29" s="83"/>
    </row>
    <row r="30" spans="1:6" ht="15.75" thickBot="1" x14ac:dyDescent="0.3">
      <c r="D30" s="131" t="s">
        <v>101</v>
      </c>
      <c r="E30" s="127" t="e">
        <f>SUM(E25:E28)</f>
        <v>#REF!</v>
      </c>
      <c r="F30" s="110" t="e">
        <f>+E30/D24</f>
        <v>#REF!</v>
      </c>
    </row>
    <row r="31" spans="1:6" ht="15.75" thickBot="1" x14ac:dyDescent="0.3">
      <c r="D31" s="4"/>
      <c r="E31" s="125" t="s">
        <v>103</v>
      </c>
      <c r="F31" s="126" t="s">
        <v>69</v>
      </c>
    </row>
    <row r="32" spans="1:6" ht="15.75" thickBot="1" x14ac:dyDescent="0.3">
      <c r="A32" s="44" t="s">
        <v>110</v>
      </c>
    </row>
    <row r="33" spans="1:6" x14ac:dyDescent="0.25">
      <c r="A33" s="14" t="s">
        <v>111</v>
      </c>
      <c r="B33" s="15" t="s">
        <v>112</v>
      </c>
      <c r="C33" s="16" t="s">
        <v>113</v>
      </c>
      <c r="D33" s="17">
        <v>15</v>
      </c>
      <c r="E33" s="95"/>
      <c r="F33" s="21"/>
    </row>
    <row r="34" spans="1:6" x14ac:dyDescent="0.25">
      <c r="A34" s="18" t="s">
        <v>75</v>
      </c>
      <c r="B34" s="19" t="s">
        <v>94</v>
      </c>
      <c r="C34" s="20" t="s">
        <v>95</v>
      </c>
      <c r="D34" s="116">
        <f>+D8</f>
        <v>0.33</v>
      </c>
      <c r="E34" s="121" t="e">
        <f>VLOOKUP(A34,'custo unitário INSUMOS'!A:J,11,0)*D33</f>
        <v>#REF!</v>
      </c>
      <c r="F34" s="21"/>
    </row>
    <row r="35" spans="1:6" x14ac:dyDescent="0.25">
      <c r="A35" s="57" t="s">
        <v>36</v>
      </c>
      <c r="B35" s="123" t="s">
        <v>37</v>
      </c>
      <c r="C35" s="28" t="s">
        <v>96</v>
      </c>
      <c r="D35" s="118">
        <v>1</v>
      </c>
      <c r="E35" s="122" t="e">
        <f>VLOOKUP(A35,'custo unitário INSUMOS'!A:J,11,0)*D35</f>
        <v>#REF!</v>
      </c>
      <c r="F35" s="84"/>
    </row>
    <row r="36" spans="1:6" x14ac:dyDescent="0.25">
      <c r="A36" s="57" t="s">
        <v>62</v>
      </c>
      <c r="B36" t="s">
        <v>114</v>
      </c>
      <c r="C36" s="28" t="s">
        <v>96</v>
      </c>
      <c r="D36" s="118">
        <v>3</v>
      </c>
      <c r="E36" s="122" t="e">
        <f>VLOOKUP(A36,'custo unitário INSUMOS'!A:J,11,0)*D36</f>
        <v>#REF!</v>
      </c>
      <c r="F36" s="84"/>
    </row>
    <row r="37" spans="1:6" x14ac:dyDescent="0.25">
      <c r="A37" s="31" t="s">
        <v>44</v>
      </c>
      <c r="B37" s="28" t="s">
        <v>45</v>
      </c>
      <c r="C37" s="28" t="s">
        <v>98</v>
      </c>
      <c r="D37" s="118">
        <f>(17/100)*D39</f>
        <v>0.68</v>
      </c>
      <c r="E37" s="122" t="e">
        <f>VLOOKUP(A37,'custo unitário INSUMOS'!A:J,11,0)*D37</f>
        <v>#REF!</v>
      </c>
      <c r="F37" s="84"/>
    </row>
    <row r="38" spans="1:6" x14ac:dyDescent="0.25">
      <c r="A38" s="31" t="s">
        <v>55</v>
      </c>
      <c r="B38" s="28" t="s">
        <v>56</v>
      </c>
      <c r="C38" s="28" t="s">
        <v>98</v>
      </c>
      <c r="D38" s="118">
        <v>2.68</v>
      </c>
      <c r="E38" s="122" t="e">
        <f>VLOOKUP(A38,'custo unitário INSUMOS'!A:J,11,0)*D38</f>
        <v>#REF!</v>
      </c>
      <c r="F38" s="84"/>
    </row>
    <row r="39" spans="1:6" ht="15.75" thickBot="1" x14ac:dyDescent="0.3">
      <c r="A39" s="109" t="s">
        <v>30</v>
      </c>
      <c r="B39" s="45" t="s">
        <v>109</v>
      </c>
      <c r="C39" s="35" t="s">
        <v>96</v>
      </c>
      <c r="D39" s="120">
        <v>4</v>
      </c>
      <c r="E39" s="122" t="e">
        <f>VLOOKUP(A39,'custo unitário INSUMOS'!A:J,11,0)*D39</f>
        <v>#REF!</v>
      </c>
      <c r="F39" s="84"/>
    </row>
    <row r="40" spans="1:6" ht="15.75" thickBot="1" x14ac:dyDescent="0.3"/>
    <row r="41" spans="1:6" ht="15.75" thickBot="1" x14ac:dyDescent="0.3">
      <c r="D41" s="131" t="s">
        <v>101</v>
      </c>
      <c r="E41" s="127" t="e">
        <f>SUM(E34:E39)</f>
        <v>#REF!</v>
      </c>
      <c r="F41" s="110" t="e">
        <f>+E41/D33</f>
        <v>#REF!</v>
      </c>
    </row>
    <row r="42" spans="1:6" ht="15.75" thickBot="1" x14ac:dyDescent="0.3">
      <c r="D42" s="4"/>
      <c r="E42" s="125" t="s">
        <v>103</v>
      </c>
      <c r="F42" s="126" t="s">
        <v>69</v>
      </c>
    </row>
    <row r="43" spans="1:6" ht="15.75" thickBot="1" x14ac:dyDescent="0.3">
      <c r="A43" s="44" t="s">
        <v>110</v>
      </c>
    </row>
    <row r="44" spans="1:6" x14ac:dyDescent="0.25">
      <c r="A44" s="14" t="s">
        <v>115</v>
      </c>
      <c r="B44" s="15" t="s">
        <v>116</v>
      </c>
      <c r="C44" s="16" t="s">
        <v>103</v>
      </c>
      <c r="D44" s="41">
        <v>30</v>
      </c>
      <c r="E44" s="95"/>
      <c r="F44" s="21"/>
    </row>
    <row r="45" spans="1:6" x14ac:dyDescent="0.25">
      <c r="A45" s="18" t="s">
        <v>75</v>
      </c>
      <c r="B45" s="19" t="s">
        <v>94</v>
      </c>
      <c r="C45" s="20" t="s">
        <v>95</v>
      </c>
      <c r="D45" s="116">
        <f>+D8</f>
        <v>0.33</v>
      </c>
      <c r="E45" s="121" t="e">
        <f>VLOOKUP(A45,'custo unitário INSUMOS'!A:J,11,0)*D44</f>
        <v>#REF!</v>
      </c>
      <c r="F45" s="21"/>
    </row>
    <row r="46" spans="1:6" x14ac:dyDescent="0.25">
      <c r="A46" s="57" t="s">
        <v>36</v>
      </c>
      <c r="B46" s="123" t="s">
        <v>37</v>
      </c>
      <c r="C46" s="28" t="s">
        <v>96</v>
      </c>
      <c r="D46" s="118">
        <v>1</v>
      </c>
      <c r="E46" s="122" t="e">
        <f>VLOOKUP(A46,'custo unitário INSUMOS'!A:J,11,0)*D46</f>
        <v>#REF!</v>
      </c>
      <c r="F46" s="84"/>
    </row>
    <row r="47" spans="1:6" x14ac:dyDescent="0.25">
      <c r="A47" s="57" t="s">
        <v>62</v>
      </c>
      <c r="B47" t="s">
        <v>114</v>
      </c>
      <c r="C47" s="28" t="s">
        <v>96</v>
      </c>
      <c r="D47" s="118">
        <v>6</v>
      </c>
      <c r="E47" s="122" t="e">
        <f>VLOOKUP(A47,'custo unitário INSUMOS'!A:J,11,0)*D47</f>
        <v>#REF!</v>
      </c>
      <c r="F47" s="84"/>
    </row>
    <row r="48" spans="1:6" x14ac:dyDescent="0.25">
      <c r="A48" s="31" t="s">
        <v>44</v>
      </c>
      <c r="B48" s="28" t="s">
        <v>45</v>
      </c>
      <c r="C48" s="28" t="s">
        <v>98</v>
      </c>
      <c r="D48" s="118">
        <f>(17/100)*D50</f>
        <v>1.1900000000000002</v>
      </c>
      <c r="E48" s="122" t="e">
        <f>VLOOKUP(A48,'custo unitário INSUMOS'!A:J,11,0)*D48</f>
        <v>#REF!</v>
      </c>
      <c r="F48" s="84"/>
    </row>
    <row r="49" spans="1:6" x14ac:dyDescent="0.25">
      <c r="A49" s="31" t="s">
        <v>55</v>
      </c>
      <c r="B49" s="28" t="s">
        <v>56</v>
      </c>
      <c r="C49" s="28" t="s">
        <v>98</v>
      </c>
      <c r="D49" s="118">
        <v>2.68</v>
      </c>
      <c r="E49" s="122" t="e">
        <f>VLOOKUP(A49,'custo unitário INSUMOS'!A:J,11,0)*D49</f>
        <v>#REF!</v>
      </c>
      <c r="F49" s="84"/>
    </row>
    <row r="50" spans="1:6" ht="15.75" thickBot="1" x14ac:dyDescent="0.3">
      <c r="A50" s="109" t="s">
        <v>30</v>
      </c>
      <c r="B50" s="45" t="s">
        <v>109</v>
      </c>
      <c r="C50" s="35" t="s">
        <v>96</v>
      </c>
      <c r="D50" s="120">
        <v>7</v>
      </c>
      <c r="E50" s="122" t="e">
        <f>VLOOKUP(A50,'custo unitário INSUMOS'!A:J,11,0)*D50</f>
        <v>#REF!</v>
      </c>
      <c r="F50" s="84"/>
    </row>
    <row r="51" spans="1:6" ht="15.75" thickBot="1" x14ac:dyDescent="0.3">
      <c r="A51" s="1"/>
      <c r="B51" s="5"/>
      <c r="C51" s="25"/>
    </row>
    <row r="52" spans="1:6" ht="15.75" thickBot="1" x14ac:dyDescent="0.3">
      <c r="D52" s="131" t="s">
        <v>101</v>
      </c>
      <c r="E52" s="127" t="e">
        <f>SUM(E45:E50)</f>
        <v>#REF!</v>
      </c>
      <c r="F52" s="110" t="e">
        <f>+E52/D44</f>
        <v>#REF!</v>
      </c>
    </row>
    <row r="53" spans="1:6" ht="15.75" thickBot="1" x14ac:dyDescent="0.3">
      <c r="D53" s="4"/>
      <c r="E53" s="125" t="s">
        <v>103</v>
      </c>
      <c r="F53" s="126" t="s">
        <v>69</v>
      </c>
    </row>
    <row r="55" spans="1:6" ht="15.75" hidden="1" outlineLevel="1" thickBot="1" x14ac:dyDescent="0.3">
      <c r="A55" s="10" t="s">
        <v>117</v>
      </c>
      <c r="B55" s="47"/>
      <c r="C55" s="5"/>
      <c r="D55" s="5"/>
      <c r="E55" s="99"/>
      <c r="F55" s="87"/>
    </row>
    <row r="56" spans="1:6" ht="15.75" hidden="1" outlineLevel="1" thickBot="1" x14ac:dyDescent="0.3">
      <c r="A56" s="12" t="s">
        <v>118</v>
      </c>
      <c r="B56" s="12" t="s">
        <v>119</v>
      </c>
      <c r="D56" s="37"/>
      <c r="E56" s="100"/>
      <c r="F56" s="88"/>
    </row>
    <row r="57" spans="1:6" hidden="1" outlineLevel="1" x14ac:dyDescent="0.25">
      <c r="A57" s="14" t="s">
        <v>118</v>
      </c>
      <c r="B57" s="46" t="s">
        <v>120</v>
      </c>
      <c r="C57" s="16" t="s">
        <v>103</v>
      </c>
      <c r="D57" s="41">
        <v>10</v>
      </c>
      <c r="E57" s="96"/>
      <c r="F57" s="21"/>
    </row>
    <row r="58" spans="1:6" hidden="1" outlineLevel="1" x14ac:dyDescent="0.25">
      <c r="A58" s="18" t="s">
        <v>75</v>
      </c>
      <c r="B58" s="19" t="s">
        <v>121</v>
      </c>
      <c r="C58" s="20" t="s">
        <v>95</v>
      </c>
      <c r="D58" s="41">
        <f>+D8</f>
        <v>0.33</v>
      </c>
      <c r="E58" s="96"/>
      <c r="F58" s="21"/>
    </row>
    <row r="59" spans="1:6" hidden="1" outlineLevel="1" x14ac:dyDescent="0.25">
      <c r="A59" s="48" t="s">
        <v>36</v>
      </c>
      <c r="B59" s="28" t="s">
        <v>37</v>
      </c>
      <c r="C59" s="28" t="s">
        <v>96</v>
      </c>
      <c r="D59" s="32">
        <v>1</v>
      </c>
      <c r="E59" s="97">
        <v>6.0049999999999999</v>
      </c>
      <c r="F59" s="84"/>
    </row>
    <row r="60" spans="1:6" hidden="1" outlineLevel="1" x14ac:dyDescent="0.25">
      <c r="A60" s="49" t="s">
        <v>22</v>
      </c>
      <c r="B60" s="50" t="s">
        <v>23</v>
      </c>
      <c r="C60" s="50" t="s">
        <v>96</v>
      </c>
      <c r="D60" s="51">
        <v>25</v>
      </c>
      <c r="E60" s="97"/>
      <c r="F60" s="84"/>
    </row>
    <row r="61" spans="1:6" hidden="1" outlineLevel="1" x14ac:dyDescent="0.25">
      <c r="A61" s="31" t="s">
        <v>44</v>
      </c>
      <c r="B61" s="28" t="s">
        <v>45</v>
      </c>
      <c r="C61" s="28" t="s">
        <v>98</v>
      </c>
      <c r="D61" s="32">
        <f>17/100</f>
        <v>0.17</v>
      </c>
      <c r="E61" s="97">
        <v>2.7200000000000002E-2</v>
      </c>
      <c r="F61" s="84"/>
    </row>
    <row r="62" spans="1:6" hidden="1" outlineLevel="1" x14ac:dyDescent="0.25">
      <c r="A62" s="31" t="s">
        <v>55</v>
      </c>
      <c r="B62" s="28" t="s">
        <v>56</v>
      </c>
      <c r="C62" s="28" t="s">
        <v>98</v>
      </c>
      <c r="D62" s="32">
        <v>2.68</v>
      </c>
      <c r="E62" s="97">
        <v>0.28586666666666671</v>
      </c>
      <c r="F62" s="84"/>
    </row>
    <row r="63" spans="1:6" ht="15.75" hidden="1" outlineLevel="1" thickBot="1" x14ac:dyDescent="0.3">
      <c r="A63" s="33"/>
      <c r="B63" s="45" t="s">
        <v>109</v>
      </c>
      <c r="C63" s="35" t="s">
        <v>96</v>
      </c>
      <c r="D63" s="36">
        <v>1</v>
      </c>
      <c r="E63" s="97">
        <f>(0.086*D63)</f>
        <v>8.5999999999999993E-2</v>
      </c>
      <c r="F63" s="84"/>
    </row>
    <row r="64" spans="1:6" ht="15.75" hidden="1" outlineLevel="1" thickBot="1" x14ac:dyDescent="0.3"/>
    <row r="65" spans="1:6" ht="15.75" hidden="1" outlineLevel="1" thickBot="1" x14ac:dyDescent="0.3">
      <c r="D65" s="38" t="s">
        <v>122</v>
      </c>
      <c r="E65" s="94"/>
      <c r="F65" s="83"/>
    </row>
    <row r="66" spans="1:6" ht="15.75" hidden="1" outlineLevel="1" thickBot="1" x14ac:dyDescent="0.3">
      <c r="D66" s="4"/>
      <c r="E66" s="94"/>
      <c r="F66" s="83"/>
    </row>
    <row r="67" spans="1:6" ht="15.75" hidden="1" outlineLevel="1" thickBot="1" x14ac:dyDescent="0.3">
      <c r="A67" s="12" t="s">
        <v>123</v>
      </c>
      <c r="B67" s="12" t="s">
        <v>124</v>
      </c>
    </row>
    <row r="68" spans="1:6" hidden="1" outlineLevel="1" x14ac:dyDescent="0.25">
      <c r="A68" s="14" t="s">
        <v>123</v>
      </c>
      <c r="B68" s="46" t="s">
        <v>125</v>
      </c>
      <c r="C68" s="16" t="s">
        <v>103</v>
      </c>
      <c r="D68" s="41">
        <v>9.6</v>
      </c>
      <c r="E68" s="96"/>
      <c r="F68" s="21"/>
    </row>
    <row r="69" spans="1:6" hidden="1" outlineLevel="1" x14ac:dyDescent="0.25">
      <c r="A69" s="18" t="s">
        <v>75</v>
      </c>
      <c r="B69" s="19" t="s">
        <v>121</v>
      </c>
      <c r="C69" s="20" t="s">
        <v>95</v>
      </c>
      <c r="D69" s="41">
        <f>+D8</f>
        <v>0.33</v>
      </c>
      <c r="E69" s="96"/>
      <c r="F69" s="21"/>
    </row>
    <row r="70" spans="1:6" hidden="1" outlineLevel="1" x14ac:dyDescent="0.25">
      <c r="A70" s="52" t="s">
        <v>36</v>
      </c>
      <c r="B70" s="28" t="s">
        <v>37</v>
      </c>
      <c r="C70" s="28" t="s">
        <v>96</v>
      </c>
      <c r="D70" s="32">
        <v>1</v>
      </c>
      <c r="E70" s="97">
        <v>6.0049999999999999</v>
      </c>
      <c r="F70" s="84"/>
    </row>
    <row r="71" spans="1:6" hidden="1" outlineLevel="1" x14ac:dyDescent="0.25">
      <c r="A71" s="49" t="s">
        <v>24</v>
      </c>
      <c r="B71" s="50" t="s">
        <v>25</v>
      </c>
      <c r="C71" s="50" t="s">
        <v>96</v>
      </c>
      <c r="D71" s="51">
        <v>12</v>
      </c>
      <c r="E71" s="101"/>
      <c r="F71" s="89"/>
    </row>
    <row r="72" spans="1:6" hidden="1" outlineLevel="1" x14ac:dyDescent="0.25">
      <c r="A72" s="31" t="s">
        <v>44</v>
      </c>
      <c r="B72" s="28" t="s">
        <v>45</v>
      </c>
      <c r="C72" s="28" t="s">
        <v>98</v>
      </c>
      <c r="D72" s="32">
        <f>17/100</f>
        <v>0.17</v>
      </c>
      <c r="E72" s="97">
        <v>2.7200000000000002E-2</v>
      </c>
      <c r="F72" s="84"/>
    </row>
    <row r="73" spans="1:6" hidden="1" outlineLevel="1" x14ac:dyDescent="0.25">
      <c r="A73" s="31" t="s">
        <v>55</v>
      </c>
      <c r="B73" s="28" t="s">
        <v>56</v>
      </c>
      <c r="C73" s="28" t="s">
        <v>98</v>
      </c>
      <c r="D73" s="32">
        <v>2.68</v>
      </c>
      <c r="E73" s="97">
        <v>0.28586666666666671</v>
      </c>
      <c r="F73" s="84"/>
    </row>
    <row r="74" spans="1:6" ht="15.75" hidden="1" outlineLevel="1" thickBot="1" x14ac:dyDescent="0.3">
      <c r="A74" s="33"/>
      <c r="B74" s="45" t="s">
        <v>109</v>
      </c>
      <c r="C74" s="35" t="s">
        <v>96</v>
      </c>
      <c r="D74" s="36">
        <v>1</v>
      </c>
      <c r="E74" s="97">
        <f>(0.086*D74)</f>
        <v>8.5999999999999993E-2</v>
      </c>
      <c r="F74" s="84"/>
    </row>
    <row r="75" spans="1:6" ht="15.75" hidden="1" outlineLevel="1" thickBot="1" x14ac:dyDescent="0.3"/>
    <row r="76" spans="1:6" ht="15.75" hidden="1" outlineLevel="1" thickBot="1" x14ac:dyDescent="0.3">
      <c r="D76" s="38" t="s">
        <v>122</v>
      </c>
      <c r="E76" s="94"/>
      <c r="F76" s="83"/>
    </row>
    <row r="77" spans="1:6" ht="15.75" hidden="1" outlineLevel="1" thickBot="1" x14ac:dyDescent="0.3"/>
    <row r="78" spans="1:6" ht="15.75" hidden="1" outlineLevel="1" thickBot="1" x14ac:dyDescent="0.3">
      <c r="A78" s="12" t="s">
        <v>126</v>
      </c>
      <c r="B78" s="12" t="s">
        <v>127</v>
      </c>
    </row>
    <row r="79" spans="1:6" hidden="1" outlineLevel="1" x14ac:dyDescent="0.25">
      <c r="A79" s="14" t="s">
        <v>126</v>
      </c>
      <c r="B79" s="46" t="s">
        <v>128</v>
      </c>
      <c r="C79" s="16" t="s">
        <v>103</v>
      </c>
      <c r="D79" s="41">
        <v>10</v>
      </c>
      <c r="E79" s="96"/>
      <c r="F79" s="21"/>
    </row>
    <row r="80" spans="1:6" hidden="1" outlineLevel="1" x14ac:dyDescent="0.25">
      <c r="A80" s="18" t="s">
        <v>75</v>
      </c>
      <c r="B80" s="19" t="s">
        <v>121</v>
      </c>
      <c r="C80" s="20" t="s">
        <v>95</v>
      </c>
      <c r="D80" s="41">
        <f>+D8</f>
        <v>0.33</v>
      </c>
      <c r="E80" s="96"/>
      <c r="F80" s="21"/>
    </row>
    <row r="81" spans="1:10" hidden="1" outlineLevel="1" x14ac:dyDescent="0.25">
      <c r="A81" s="48" t="s">
        <v>36</v>
      </c>
      <c r="B81" s="28" t="s">
        <v>37</v>
      </c>
      <c r="C81" s="28" t="s">
        <v>96</v>
      </c>
      <c r="D81" s="32">
        <v>1</v>
      </c>
      <c r="E81" s="97">
        <v>6.0049999999999999</v>
      </c>
      <c r="F81" s="84"/>
    </row>
    <row r="82" spans="1:10" hidden="1" outlineLevel="1" x14ac:dyDescent="0.25">
      <c r="A82" s="48" t="s">
        <v>18</v>
      </c>
      <c r="B82" s="37" t="s">
        <v>19</v>
      </c>
      <c r="C82" s="28" t="s">
        <v>96</v>
      </c>
      <c r="D82" s="32">
        <v>20</v>
      </c>
      <c r="E82" s="97"/>
      <c r="F82" s="84"/>
    </row>
    <row r="83" spans="1:10" hidden="1" outlineLevel="1" x14ac:dyDescent="0.25">
      <c r="A83" s="31" t="s">
        <v>44</v>
      </c>
      <c r="B83" s="28" t="s">
        <v>45</v>
      </c>
      <c r="C83" s="28" t="s">
        <v>98</v>
      </c>
      <c r="D83" s="32">
        <f>17/100</f>
        <v>0.17</v>
      </c>
      <c r="E83" s="97">
        <v>2.7200000000000002E-2</v>
      </c>
      <c r="F83" s="84"/>
    </row>
    <row r="84" spans="1:10" hidden="1" outlineLevel="1" x14ac:dyDescent="0.25">
      <c r="A84" s="31" t="s">
        <v>55</v>
      </c>
      <c r="B84" s="28" t="s">
        <v>56</v>
      </c>
      <c r="C84" s="28" t="s">
        <v>98</v>
      </c>
      <c r="D84" s="32">
        <v>2.68</v>
      </c>
      <c r="E84" s="97">
        <v>0.28586666666666671</v>
      </c>
      <c r="F84" s="84"/>
    </row>
    <row r="85" spans="1:10" ht="15.75" hidden="1" outlineLevel="1" thickBot="1" x14ac:dyDescent="0.3">
      <c r="A85" s="33"/>
      <c r="B85" s="45" t="s">
        <v>109</v>
      </c>
      <c r="C85" s="35" t="s">
        <v>96</v>
      </c>
      <c r="D85" s="36">
        <v>1</v>
      </c>
      <c r="E85" s="97">
        <f>(0.086*D85)</f>
        <v>8.5999999999999993E-2</v>
      </c>
      <c r="F85" s="84"/>
    </row>
    <row r="86" spans="1:10" ht="15.75" hidden="1" outlineLevel="1" thickBot="1" x14ac:dyDescent="0.3">
      <c r="C86" s="25"/>
    </row>
    <row r="87" spans="1:10" ht="15.75" hidden="1" outlineLevel="1" thickBot="1" x14ac:dyDescent="0.3">
      <c r="C87" s="25"/>
      <c r="D87" s="38" t="s">
        <v>122</v>
      </c>
      <c r="E87" s="94"/>
      <c r="F87" s="83"/>
    </row>
    <row r="88" spans="1:10" hidden="1" outlineLevel="1" x14ac:dyDescent="0.25"/>
    <row r="89" spans="1:10" ht="15.75" collapsed="1" thickBot="1" x14ac:dyDescent="0.3">
      <c r="A89" s="10" t="s">
        <v>129</v>
      </c>
      <c r="B89" s="47"/>
      <c r="C89" s="5"/>
      <c r="D89" s="5"/>
      <c r="E89" s="99"/>
      <c r="F89" s="87"/>
    </row>
    <row r="90" spans="1:10" ht="15.75" thickBot="1" x14ac:dyDescent="0.3">
      <c r="A90" s="12"/>
      <c r="B90" s="12"/>
      <c r="D90" s="37"/>
      <c r="E90" s="100"/>
      <c r="F90" s="88"/>
    </row>
    <row r="91" spans="1:10" x14ac:dyDescent="0.25">
      <c r="A91" s="14" t="s">
        <v>111</v>
      </c>
      <c r="B91" s="15" t="s">
        <v>130</v>
      </c>
      <c r="C91" s="16" t="s">
        <v>103</v>
      </c>
      <c r="D91" s="41">
        <v>15</v>
      </c>
      <c r="E91" s="95"/>
      <c r="F91" s="21"/>
    </row>
    <row r="92" spans="1:10" x14ac:dyDescent="0.25">
      <c r="A92" s="18" t="s">
        <v>75</v>
      </c>
      <c r="B92" s="19" t="s">
        <v>131</v>
      </c>
      <c r="C92" s="20" t="s">
        <v>95</v>
      </c>
      <c r="D92" s="116">
        <f>+D8</f>
        <v>0.33</v>
      </c>
      <c r="E92" s="121" t="e">
        <f>VLOOKUP(A92,'custo unitário INSUMOS'!A:J,11,0)*D91</f>
        <v>#REF!</v>
      </c>
      <c r="F92" s="21"/>
    </row>
    <row r="93" spans="1:10" x14ac:dyDescent="0.25">
      <c r="A93" s="48" t="s">
        <v>36</v>
      </c>
      <c r="B93" s="28" t="s">
        <v>37</v>
      </c>
      <c r="C93" s="28" t="s">
        <v>96</v>
      </c>
      <c r="D93" s="118">
        <v>1</v>
      </c>
      <c r="E93" s="122" t="e">
        <f>VLOOKUP(A93,'custo unitário INSUMOS'!A:J,11,0)*D93</f>
        <v>#REF!</v>
      </c>
      <c r="F93" s="84"/>
      <c r="J93" s="53"/>
    </row>
    <row r="94" spans="1:10" x14ac:dyDescent="0.25">
      <c r="A94" s="52" t="s">
        <v>34</v>
      </c>
      <c r="B94" s="28" t="s">
        <v>35</v>
      </c>
      <c r="C94" s="28" t="s">
        <v>96</v>
      </c>
      <c r="D94" s="135">
        <v>3</v>
      </c>
      <c r="E94" s="122" t="e">
        <f>VLOOKUP(A94,'custo unitário INSUMOS'!A:J,11,0)*D94</f>
        <v>#REF!</v>
      </c>
      <c r="F94" s="84"/>
    </row>
    <row r="95" spans="1:10" x14ac:dyDescent="0.25">
      <c r="A95" s="31" t="s">
        <v>44</v>
      </c>
      <c r="B95" s="28" t="s">
        <v>45</v>
      </c>
      <c r="C95" s="28" t="s">
        <v>98</v>
      </c>
      <c r="D95" s="118">
        <f>(17/100)*D97</f>
        <v>0.68</v>
      </c>
      <c r="E95" s="122" t="e">
        <f>VLOOKUP(A95,'custo unitário INSUMOS'!A:J,11,0)*D95</f>
        <v>#REF!</v>
      </c>
      <c r="F95" s="84"/>
    </row>
    <row r="96" spans="1:10" x14ac:dyDescent="0.25">
      <c r="A96" s="31" t="s">
        <v>55</v>
      </c>
      <c r="B96" s="28" t="s">
        <v>56</v>
      </c>
      <c r="C96" s="28" t="s">
        <v>98</v>
      </c>
      <c r="D96" s="118">
        <v>2.68</v>
      </c>
      <c r="E96" s="122" t="e">
        <f>VLOOKUP(A96,'custo unitário INSUMOS'!A:J,11,0)*D96</f>
        <v>#REF!</v>
      </c>
      <c r="F96" s="84"/>
    </row>
    <row r="97" spans="1:8" ht="15.75" thickBot="1" x14ac:dyDescent="0.3">
      <c r="A97" s="109" t="s">
        <v>30</v>
      </c>
      <c r="B97" s="45" t="s">
        <v>109</v>
      </c>
      <c r="C97" s="35" t="s">
        <v>96</v>
      </c>
      <c r="D97" s="120">
        <v>4</v>
      </c>
      <c r="E97" s="122" t="e">
        <f>VLOOKUP(A97,'custo unitário INSUMOS'!A:J,11,0)*D97</f>
        <v>#REF!</v>
      </c>
      <c r="F97" s="84"/>
    </row>
    <row r="98" spans="1:8" ht="15.75" thickBot="1" x14ac:dyDescent="0.3">
      <c r="D98" s="37"/>
      <c r="E98" s="100"/>
      <c r="F98" s="88"/>
    </row>
    <row r="99" spans="1:8" ht="15.75" thickBot="1" x14ac:dyDescent="0.3">
      <c r="D99" s="131" t="s">
        <v>101</v>
      </c>
      <c r="E99" s="127" t="e">
        <f>SUM(E92:E97)</f>
        <v>#REF!</v>
      </c>
      <c r="F99" s="110" t="e">
        <f>+E99/D91</f>
        <v>#REF!</v>
      </c>
    </row>
    <row r="100" spans="1:8" ht="15.75" thickBot="1" x14ac:dyDescent="0.3">
      <c r="D100" s="4"/>
      <c r="E100" s="125" t="s">
        <v>103</v>
      </c>
      <c r="F100" s="126" t="s">
        <v>69</v>
      </c>
    </row>
    <row r="101" spans="1:8" ht="15.75" thickBot="1" x14ac:dyDescent="0.3">
      <c r="D101" s="4"/>
      <c r="E101" s="94"/>
      <c r="F101" s="83"/>
    </row>
    <row r="102" spans="1:8" x14ac:dyDescent="0.25">
      <c r="A102" s="14" t="s">
        <v>111</v>
      </c>
      <c r="B102" s="15" t="s">
        <v>132</v>
      </c>
      <c r="C102" s="16" t="s">
        <v>103</v>
      </c>
      <c r="D102" s="41">
        <v>15</v>
      </c>
      <c r="E102" s="95"/>
      <c r="F102" s="21"/>
      <c r="H102" s="53"/>
    </row>
    <row r="103" spans="1:8" x14ac:dyDescent="0.25">
      <c r="A103" s="18" t="s">
        <v>75</v>
      </c>
      <c r="B103" s="19" t="s">
        <v>131</v>
      </c>
      <c r="C103" s="20" t="s">
        <v>95</v>
      </c>
      <c r="D103" s="116">
        <f>+D92</f>
        <v>0.33</v>
      </c>
      <c r="E103" s="121" t="e">
        <f>VLOOKUP(A103,'custo unitário INSUMOS'!A:J,11,0)*D102</f>
        <v>#REF!</v>
      </c>
      <c r="F103" s="21"/>
    </row>
    <row r="104" spans="1:8" x14ac:dyDescent="0.25">
      <c r="A104" s="48" t="s">
        <v>36</v>
      </c>
      <c r="B104" s="28" t="s">
        <v>37</v>
      </c>
      <c r="C104" s="28" t="s">
        <v>96</v>
      </c>
      <c r="D104" s="118">
        <v>1</v>
      </c>
      <c r="E104" s="122" t="e">
        <f>VLOOKUP(A104,'custo unitário INSUMOS'!A:J,11,0)*D104</f>
        <v>#REF!</v>
      </c>
      <c r="F104" s="84"/>
    </row>
    <row r="105" spans="1:8" x14ac:dyDescent="0.25">
      <c r="A105" s="52" t="s">
        <v>34</v>
      </c>
      <c r="B105" s="28" t="s">
        <v>35</v>
      </c>
      <c r="C105" s="28" t="s">
        <v>96</v>
      </c>
      <c r="D105" s="135">
        <v>3</v>
      </c>
      <c r="E105" s="122" t="e">
        <f>VLOOKUP(A105,'custo unitário INSUMOS'!A:J,11,0)*D105</f>
        <v>#REF!</v>
      </c>
      <c r="F105" s="84"/>
    </row>
    <row r="106" spans="1:8" x14ac:dyDescent="0.25">
      <c r="A106" s="31" t="s">
        <v>44</v>
      </c>
      <c r="B106" s="28" t="s">
        <v>45</v>
      </c>
      <c r="C106" s="28" t="s">
        <v>98</v>
      </c>
      <c r="D106" s="118">
        <f>(17/100)*D108</f>
        <v>0.68</v>
      </c>
      <c r="E106" s="122" t="e">
        <f>VLOOKUP(A106,'custo unitário INSUMOS'!A:J,11,0)*D106</f>
        <v>#REF!</v>
      </c>
      <c r="F106" s="84"/>
    </row>
    <row r="107" spans="1:8" x14ac:dyDescent="0.25">
      <c r="A107" s="31" t="s">
        <v>55</v>
      </c>
      <c r="B107" s="28" t="s">
        <v>56</v>
      </c>
      <c r="C107" s="28" t="s">
        <v>98</v>
      </c>
      <c r="D107" s="118">
        <v>2.68</v>
      </c>
      <c r="E107" s="122" t="e">
        <f>VLOOKUP(A107,'custo unitário INSUMOS'!A:J,11,0)*D107</f>
        <v>#REF!</v>
      </c>
      <c r="F107" s="84"/>
    </row>
    <row r="108" spans="1:8" ht="15.75" thickBot="1" x14ac:dyDescent="0.3">
      <c r="A108" s="109" t="s">
        <v>30</v>
      </c>
      <c r="B108" s="45" t="s">
        <v>109</v>
      </c>
      <c r="C108" s="35" t="s">
        <v>96</v>
      </c>
      <c r="D108" s="120">
        <v>4</v>
      </c>
      <c r="E108" s="122" t="e">
        <f>VLOOKUP(A108,'custo unitário INSUMOS'!A:J,11,0)*D108</f>
        <v>#REF!</v>
      </c>
      <c r="F108" s="84"/>
    </row>
    <row r="109" spans="1:8" ht="15.75" thickBot="1" x14ac:dyDescent="0.3">
      <c r="D109" s="37"/>
      <c r="E109" s="100"/>
      <c r="F109" s="88"/>
    </row>
    <row r="110" spans="1:8" ht="15.75" thickBot="1" x14ac:dyDescent="0.3">
      <c r="D110" s="131" t="s">
        <v>101</v>
      </c>
      <c r="E110" s="127" t="e">
        <f>SUM(E103:E108)</f>
        <v>#REF!</v>
      </c>
      <c r="F110" s="110" t="e">
        <f>+E110/D102</f>
        <v>#REF!</v>
      </c>
    </row>
    <row r="111" spans="1:8" ht="15.75" thickBot="1" x14ac:dyDescent="0.3">
      <c r="D111" s="4"/>
      <c r="E111" s="125" t="s">
        <v>103</v>
      </c>
      <c r="F111" s="126" t="s">
        <v>69</v>
      </c>
    </row>
    <row r="112" spans="1:8" x14ac:dyDescent="0.25">
      <c r="D112" s="53"/>
      <c r="E112" s="100"/>
      <c r="F112" s="90"/>
    </row>
    <row r="113" spans="1:13" x14ac:dyDescent="0.25">
      <c r="A113" s="10" t="s">
        <v>133</v>
      </c>
      <c r="B113" s="54"/>
    </row>
    <row r="114" spans="1:13" ht="15.75" thickBot="1" x14ac:dyDescent="0.3">
      <c r="A114" s="44"/>
    </row>
    <row r="115" spans="1:13" x14ac:dyDescent="0.25">
      <c r="A115" s="55" t="s">
        <v>134</v>
      </c>
      <c r="B115" s="56" t="s">
        <v>135</v>
      </c>
      <c r="C115" s="16" t="s">
        <v>103</v>
      </c>
      <c r="D115" s="41">
        <v>15</v>
      </c>
      <c r="E115" s="95"/>
      <c r="F115" s="21"/>
    </row>
    <row r="116" spans="1:13" x14ac:dyDescent="0.25">
      <c r="A116" s="18" t="s">
        <v>75</v>
      </c>
      <c r="B116" s="19" t="s">
        <v>121</v>
      </c>
      <c r="C116" s="20" t="s">
        <v>95</v>
      </c>
      <c r="D116" s="116">
        <v>0.44</v>
      </c>
      <c r="E116" s="121" t="e">
        <f>VLOOKUP(A116,'custo unitário INSUMOS'!A:J,11,0)*D115</f>
        <v>#REF!</v>
      </c>
      <c r="F116" s="21"/>
    </row>
    <row r="117" spans="1:13" x14ac:dyDescent="0.25">
      <c r="A117" s="48" t="s">
        <v>36</v>
      </c>
      <c r="B117" s="28" t="s">
        <v>37</v>
      </c>
      <c r="C117" s="28" t="s">
        <v>96</v>
      </c>
      <c r="D117" s="118">
        <v>1</v>
      </c>
      <c r="E117" s="122" t="e">
        <f>VLOOKUP(A117,'custo unitário INSUMOS'!A:J,11,0)*D117</f>
        <v>#REF!</v>
      </c>
      <c r="F117" s="84"/>
    </row>
    <row r="118" spans="1:13" x14ac:dyDescent="0.25">
      <c r="A118" s="52" t="s">
        <v>34</v>
      </c>
      <c r="B118" s="28" t="s">
        <v>35</v>
      </c>
      <c r="C118" s="28" t="s">
        <v>96</v>
      </c>
      <c r="D118" s="135">
        <v>3</v>
      </c>
      <c r="E118" s="122" t="e">
        <f>VLOOKUP(A118,'custo unitário INSUMOS'!A:J,11,0)*D118</f>
        <v>#REF!</v>
      </c>
      <c r="F118" s="84"/>
    </row>
    <row r="119" spans="1:13" x14ac:dyDescent="0.25">
      <c r="A119" s="31" t="s">
        <v>44</v>
      </c>
      <c r="B119" s="28" t="s">
        <v>45</v>
      </c>
      <c r="C119" s="28" t="s">
        <v>98</v>
      </c>
      <c r="D119" s="118">
        <f>(17/100)*D121</f>
        <v>0.68</v>
      </c>
      <c r="E119" s="122" t="e">
        <f>VLOOKUP(A119,'custo unitário INSUMOS'!A:J,11,0)*D119</f>
        <v>#REF!</v>
      </c>
      <c r="F119" s="84"/>
    </row>
    <row r="120" spans="1:13" x14ac:dyDescent="0.25">
      <c r="A120" s="31" t="s">
        <v>55</v>
      </c>
      <c r="B120" s="28" t="s">
        <v>56</v>
      </c>
      <c r="C120" s="28" t="s">
        <v>98</v>
      </c>
      <c r="D120" s="118">
        <v>2.68</v>
      </c>
      <c r="E120" s="122" t="e">
        <f>VLOOKUP(A120,'custo unitário INSUMOS'!A:J,11,0)*D120</f>
        <v>#REF!</v>
      </c>
      <c r="F120" s="84"/>
    </row>
    <row r="121" spans="1:13" ht="15.75" thickBot="1" x14ac:dyDescent="0.3">
      <c r="A121" s="57" t="s">
        <v>32</v>
      </c>
      <c r="B121" s="58" t="s">
        <v>33</v>
      </c>
      <c r="C121" s="35" t="s">
        <v>96</v>
      </c>
      <c r="D121" s="120">
        <v>4</v>
      </c>
      <c r="E121" s="122" t="e">
        <f>VLOOKUP(A121,'custo unitário INSUMOS'!A:J,11,0)*D121</f>
        <v>#REF!</v>
      </c>
      <c r="F121" s="84"/>
    </row>
    <row r="122" spans="1:13" ht="15.75" thickBot="1" x14ac:dyDescent="0.3"/>
    <row r="123" spans="1:13" ht="15.75" thickBot="1" x14ac:dyDescent="0.3">
      <c r="D123" s="131" t="s">
        <v>101</v>
      </c>
      <c r="E123" s="127" t="e">
        <f>SUM(E116:E121)</f>
        <v>#REF!</v>
      </c>
      <c r="F123" s="110" t="e">
        <f>+E123/D115</f>
        <v>#REF!</v>
      </c>
    </row>
    <row r="124" spans="1:13" ht="15.75" thickBot="1" x14ac:dyDescent="0.3">
      <c r="D124" s="4"/>
      <c r="E124" s="125" t="s">
        <v>103</v>
      </c>
      <c r="F124" s="126" t="s">
        <v>69</v>
      </c>
    </row>
    <row r="125" spans="1:13" ht="15.75" thickBot="1" x14ac:dyDescent="0.3"/>
    <row r="126" spans="1:13" x14ac:dyDescent="0.25">
      <c r="A126" s="14"/>
      <c r="B126" s="46" t="s">
        <v>136</v>
      </c>
      <c r="C126" s="16" t="s">
        <v>103</v>
      </c>
      <c r="D126" s="63">
        <v>1</v>
      </c>
      <c r="E126" s="132">
        <v>0.05</v>
      </c>
      <c r="F126" s="21"/>
      <c r="H126" s="104"/>
    </row>
    <row r="127" spans="1:13" x14ac:dyDescent="0.25">
      <c r="A127" s="59" t="s">
        <v>78</v>
      </c>
      <c r="B127" s="59" t="s">
        <v>79</v>
      </c>
      <c r="C127" s="59" t="s">
        <v>137</v>
      </c>
      <c r="D127" s="136">
        <f>+'custo unitário INSUMOS'!D27</f>
        <v>0.67</v>
      </c>
      <c r="E127" s="137" t="e">
        <f>VLOOKUP(A127,'custo unitário INSUMOS'!A:J,11,0)*(D126*D127)*E126</f>
        <v>#REF!</v>
      </c>
      <c r="F127" s="91"/>
      <c r="G127" s="133"/>
      <c r="H127" s="134"/>
      <c r="I127" s="133"/>
    </row>
    <row r="128" spans="1:13" x14ac:dyDescent="0.25">
      <c r="A128" s="31" t="s">
        <v>44</v>
      </c>
      <c r="B128" s="28" t="s">
        <v>45</v>
      </c>
      <c r="C128" s="28" t="s">
        <v>98</v>
      </c>
      <c r="D128" s="118">
        <f>(17/100)*D130</f>
        <v>0.17</v>
      </c>
      <c r="E128" s="122" t="e">
        <f>VLOOKUP(A128,'custo unitário INSUMOS'!A:J,11,0)*D128</f>
        <v>#REF!</v>
      </c>
      <c r="F128" s="84"/>
      <c r="M128" s="115"/>
    </row>
    <row r="129" spans="1:13" x14ac:dyDescent="0.25">
      <c r="A129" s="57" t="s">
        <v>32</v>
      </c>
      <c r="B129" s="58" t="s">
        <v>33</v>
      </c>
      <c r="C129" s="28" t="s">
        <v>96</v>
      </c>
      <c r="D129" s="118">
        <v>1</v>
      </c>
      <c r="E129" s="122" t="e">
        <f>VLOOKUP(A129,'custo unitário INSUMOS'!A:J,11,0)*D129</f>
        <v>#REF!</v>
      </c>
      <c r="F129" s="84"/>
      <c r="M129" s="115"/>
    </row>
    <row r="130" spans="1:13" ht="15.75" thickBot="1" x14ac:dyDescent="0.3">
      <c r="A130" s="31" t="s">
        <v>57</v>
      </c>
      <c r="B130" s="35" t="s">
        <v>58</v>
      </c>
      <c r="C130" s="35" t="s">
        <v>96</v>
      </c>
      <c r="D130" s="120">
        <v>1</v>
      </c>
      <c r="E130" s="122" t="e">
        <f>VLOOKUP(A130,'custo unitário INSUMOS'!A:J,11,0)*D130</f>
        <v>#REF!</v>
      </c>
      <c r="F130" s="84"/>
      <c r="M130" s="115"/>
    </row>
    <row r="131" spans="1:13" ht="15.75" thickBot="1" x14ac:dyDescent="0.3">
      <c r="M131" s="115"/>
    </row>
    <row r="132" spans="1:13" ht="15.75" thickBot="1" x14ac:dyDescent="0.3">
      <c r="D132" s="131" t="s">
        <v>101</v>
      </c>
      <c r="E132" s="127" t="e">
        <f>SUM(E127:E130)</f>
        <v>#REF!</v>
      </c>
      <c r="F132" s="110" t="e">
        <f>+E132/D126</f>
        <v>#REF!</v>
      </c>
      <c r="M132" s="115"/>
    </row>
    <row r="133" spans="1:13" ht="15.75" thickBot="1" x14ac:dyDescent="0.3">
      <c r="E133" s="125" t="s">
        <v>103</v>
      </c>
      <c r="F133" s="126" t="s">
        <v>69</v>
      </c>
    </row>
    <row r="134" spans="1:13" ht="15.75" thickBot="1" x14ac:dyDescent="0.3">
      <c r="A134" s="44"/>
    </row>
    <row r="135" spans="1:13" x14ac:dyDescent="0.25">
      <c r="A135" s="14"/>
      <c r="B135" s="46" t="s">
        <v>138</v>
      </c>
      <c r="C135" s="16" t="s">
        <v>103</v>
      </c>
      <c r="D135" s="63">
        <v>20</v>
      </c>
      <c r="E135" s="132">
        <v>0.03</v>
      </c>
      <c r="F135" s="21"/>
    </row>
    <row r="136" spans="1:13" x14ac:dyDescent="0.25">
      <c r="A136" s="59" t="s">
        <v>78</v>
      </c>
      <c r="B136" s="59" t="s">
        <v>79</v>
      </c>
      <c r="C136" s="59" t="s">
        <v>137</v>
      </c>
      <c r="D136" s="136">
        <f>+'custo unitário INSUMOS'!D27</f>
        <v>0.67</v>
      </c>
      <c r="E136" s="137" t="e">
        <f>VLOOKUP(A136,'custo unitário INSUMOS'!A:J,11,0)*(D135*D136)*E135</f>
        <v>#REF!</v>
      </c>
      <c r="F136" s="91"/>
    </row>
    <row r="137" spans="1:13" x14ac:dyDescent="0.25">
      <c r="A137" s="31" t="s">
        <v>44</v>
      </c>
      <c r="B137" s="28" t="s">
        <v>45</v>
      </c>
      <c r="C137" s="28" t="s">
        <v>98</v>
      </c>
      <c r="D137" s="118">
        <f>(17/100)*D139</f>
        <v>0.17</v>
      </c>
      <c r="E137" s="122" t="e">
        <f>VLOOKUP(A137,'custo unitário INSUMOS'!A:J,11,0)</f>
        <v>#REF!</v>
      </c>
      <c r="F137" s="84"/>
    </row>
    <row r="138" spans="1:13" x14ac:dyDescent="0.25">
      <c r="A138" s="57" t="s">
        <v>32</v>
      </c>
      <c r="B138" s="58" t="s">
        <v>33</v>
      </c>
      <c r="C138" s="28" t="s">
        <v>96</v>
      </c>
      <c r="D138" s="118">
        <v>1</v>
      </c>
      <c r="E138" s="122" t="e">
        <f>VLOOKUP(A138,'custo unitário INSUMOS'!A:J,11,0)</f>
        <v>#REF!</v>
      </c>
      <c r="F138" s="84"/>
    </row>
    <row r="139" spans="1:13" ht="15.75" thickBot="1" x14ac:dyDescent="0.3">
      <c r="A139" s="31" t="s">
        <v>57</v>
      </c>
      <c r="B139" s="35" t="s">
        <v>58</v>
      </c>
      <c r="C139" s="35" t="s">
        <v>96</v>
      </c>
      <c r="D139" s="120">
        <v>1</v>
      </c>
      <c r="E139" s="122" t="e">
        <f>VLOOKUP(A139,'custo unitário INSUMOS'!A:J,11,0)</f>
        <v>#REF!</v>
      </c>
      <c r="F139" s="84"/>
    </row>
    <row r="140" spans="1:13" ht="15.75" thickBot="1" x14ac:dyDescent="0.3"/>
    <row r="141" spans="1:13" ht="15.75" thickBot="1" x14ac:dyDescent="0.3">
      <c r="D141" s="131" t="s">
        <v>101</v>
      </c>
      <c r="E141" s="127" t="e">
        <f>SUM(E136:E139)</f>
        <v>#REF!</v>
      </c>
      <c r="F141" s="110" t="e">
        <f>+E141/D135</f>
        <v>#REF!</v>
      </c>
    </row>
    <row r="142" spans="1:13" ht="15.75" thickBot="1" x14ac:dyDescent="0.3">
      <c r="E142" s="125" t="s">
        <v>103</v>
      </c>
      <c r="F142" s="126" t="s">
        <v>69</v>
      </c>
    </row>
    <row r="143" spans="1:13" ht="15.75" thickBot="1" x14ac:dyDescent="0.3">
      <c r="A143" s="44"/>
    </row>
    <row r="144" spans="1:13" x14ac:dyDescent="0.25">
      <c r="A144" s="14"/>
      <c r="B144" s="46" t="s">
        <v>139</v>
      </c>
      <c r="C144" s="16" t="s">
        <v>103</v>
      </c>
      <c r="D144" s="63">
        <v>20</v>
      </c>
      <c r="E144" s="132">
        <v>0.03</v>
      </c>
      <c r="F144" s="21"/>
    </row>
    <row r="145" spans="1:6" x14ac:dyDescent="0.25">
      <c r="A145" s="59" t="s">
        <v>78</v>
      </c>
      <c r="B145" s="59" t="s">
        <v>79</v>
      </c>
      <c r="C145" s="59" t="s">
        <v>137</v>
      </c>
      <c r="D145" s="150">
        <f>+'custo unitário INSUMOS'!D27</f>
        <v>0.67</v>
      </c>
      <c r="E145" s="137" t="e">
        <f>VLOOKUP(A145,'custo unitário INSUMOS'!A:J,11,0)*(D144*D145)*E144</f>
        <v>#REF!</v>
      </c>
      <c r="F145" s="91"/>
    </row>
    <row r="146" spans="1:6" x14ac:dyDescent="0.25">
      <c r="A146" s="31" t="s">
        <v>44</v>
      </c>
      <c r="B146" s="28" t="s">
        <v>45</v>
      </c>
      <c r="C146" s="28" t="s">
        <v>98</v>
      </c>
      <c r="D146" s="118">
        <f>(17/100)*D148</f>
        <v>0.17</v>
      </c>
      <c r="E146" s="122" t="e">
        <f>VLOOKUP(A146,'custo unitário INSUMOS'!A:J,11,0)</f>
        <v>#REF!</v>
      </c>
      <c r="F146" s="84"/>
    </row>
    <row r="147" spans="1:6" x14ac:dyDescent="0.25">
      <c r="A147" s="57" t="s">
        <v>32</v>
      </c>
      <c r="B147" s="58" t="s">
        <v>33</v>
      </c>
      <c r="C147" s="28" t="s">
        <v>96</v>
      </c>
      <c r="D147" s="118">
        <v>1</v>
      </c>
      <c r="E147" s="122" t="e">
        <f>VLOOKUP(A147,'custo unitário INSUMOS'!A:J,11,0)</f>
        <v>#REF!</v>
      </c>
      <c r="F147" s="84"/>
    </row>
    <row r="148" spans="1:6" ht="15.75" thickBot="1" x14ac:dyDescent="0.3">
      <c r="A148" s="31" t="s">
        <v>57</v>
      </c>
      <c r="B148" s="35" t="s">
        <v>58</v>
      </c>
      <c r="C148" s="35" t="s">
        <v>96</v>
      </c>
      <c r="D148" s="120">
        <v>1</v>
      </c>
      <c r="E148" s="122" t="e">
        <f>VLOOKUP(A148,'custo unitário INSUMOS'!A:J,11,0)</f>
        <v>#REF!</v>
      </c>
      <c r="F148" s="84"/>
    </row>
    <row r="149" spans="1:6" ht="15.75" thickBot="1" x14ac:dyDescent="0.3"/>
    <row r="150" spans="1:6" ht="15.75" thickBot="1" x14ac:dyDescent="0.3">
      <c r="D150" s="131" t="s">
        <v>101</v>
      </c>
      <c r="E150" s="127" t="e">
        <f>SUM(E145:E148)</f>
        <v>#REF!</v>
      </c>
      <c r="F150" s="110" t="e">
        <f>+E150/D144</f>
        <v>#REF!</v>
      </c>
    </row>
    <row r="151" spans="1:6" ht="15.75" thickBot="1" x14ac:dyDescent="0.3">
      <c r="E151" s="125" t="s">
        <v>103</v>
      </c>
      <c r="F151" s="126" t="s">
        <v>69</v>
      </c>
    </row>
    <row r="152" spans="1:6" ht="15.75" thickBot="1" x14ac:dyDescent="0.3"/>
    <row r="153" spans="1:6" x14ac:dyDescent="0.25">
      <c r="A153" s="14"/>
      <c r="B153" s="46" t="s">
        <v>140</v>
      </c>
      <c r="C153" s="16" t="s">
        <v>141</v>
      </c>
      <c r="D153" s="63">
        <v>1</v>
      </c>
      <c r="E153" s="132">
        <v>6.5000000000000002E-2</v>
      </c>
      <c r="F153" s="21"/>
    </row>
    <row r="154" spans="1:6" x14ac:dyDescent="0.25">
      <c r="A154" s="59" t="s">
        <v>78</v>
      </c>
      <c r="B154" s="59" t="s">
        <v>79</v>
      </c>
      <c r="C154" s="59" t="s">
        <v>137</v>
      </c>
      <c r="D154" s="63">
        <v>1</v>
      </c>
      <c r="E154" s="137" t="e">
        <f>VLOOKUP(A154,'custo unitário INSUMOS'!A:J,11,0)*(D153*D154)*E153</f>
        <v>#REF!</v>
      </c>
      <c r="F154" s="84"/>
    </row>
    <row r="155" spans="1:6" ht="15.75" thickBot="1" x14ac:dyDescent="0.3"/>
    <row r="156" spans="1:6" ht="15.75" thickBot="1" x14ac:dyDescent="0.3">
      <c r="D156" s="131" t="s">
        <v>101</v>
      </c>
      <c r="E156" s="127" t="e">
        <f>SUM(E154)</f>
        <v>#REF!</v>
      </c>
      <c r="F156" s="110" t="e">
        <f>+E156/D153</f>
        <v>#REF!</v>
      </c>
    </row>
    <row r="157" spans="1:6" ht="15.75" thickBot="1" x14ac:dyDescent="0.3">
      <c r="E157" s="125" t="s">
        <v>103</v>
      </c>
      <c r="F157" s="126" t="s">
        <v>69</v>
      </c>
    </row>
    <row r="158" spans="1:6" ht="15.75" thickBot="1" x14ac:dyDescent="0.3"/>
    <row r="159" spans="1:6" x14ac:dyDescent="0.25">
      <c r="A159" s="14" t="s">
        <v>142</v>
      </c>
      <c r="B159" s="46" t="s">
        <v>143</v>
      </c>
      <c r="C159" s="16" t="s">
        <v>103</v>
      </c>
      <c r="D159" s="108">
        <v>1</v>
      </c>
      <c r="E159" s="138">
        <v>0.95</v>
      </c>
      <c r="F159" s="21"/>
    </row>
    <row r="160" spans="1:6" x14ac:dyDescent="0.25">
      <c r="A160" s="105" t="s">
        <v>73</v>
      </c>
      <c r="B160" s="106" t="s">
        <v>121</v>
      </c>
      <c r="C160" s="107" t="s">
        <v>95</v>
      </c>
      <c r="D160" s="148"/>
      <c r="E160" s="149" t="e">
        <f>(D159*E159)*(VLOOKUP(A160,'custo unitário INSUMOS'!A:J,11,0))</f>
        <v>#REF!</v>
      </c>
      <c r="F160" s="21"/>
    </row>
    <row r="161" spans="1:6" x14ac:dyDescent="0.25">
      <c r="A161" s="57" t="s">
        <v>32</v>
      </c>
      <c r="B161" s="58" t="s">
        <v>33</v>
      </c>
      <c r="C161" s="28" t="s">
        <v>96</v>
      </c>
      <c r="D161" s="118">
        <v>1</v>
      </c>
      <c r="E161" s="122" t="e">
        <f>VLOOKUP(A161,'custo unitário INSUMOS'!A:J,11,0)</f>
        <v>#REF!</v>
      </c>
      <c r="F161" s="84"/>
    </row>
    <row r="162" spans="1:6" x14ac:dyDescent="0.25">
      <c r="A162" s="31" t="s">
        <v>44</v>
      </c>
      <c r="B162" s="28" t="s">
        <v>45</v>
      </c>
      <c r="C162" s="28" t="s">
        <v>98</v>
      </c>
      <c r="D162" s="118">
        <v>0.17</v>
      </c>
      <c r="E162" s="122" t="e">
        <f>VLOOKUP(A162,'custo unitário INSUMOS'!A:J,11,0)</f>
        <v>#REF!</v>
      </c>
      <c r="F162" s="84"/>
    </row>
    <row r="163" spans="1:6" ht="15.75" thickBot="1" x14ac:dyDescent="0.3"/>
    <row r="164" spans="1:6" ht="15.75" thickBot="1" x14ac:dyDescent="0.3">
      <c r="B164" s="39"/>
      <c r="C164" s="39"/>
      <c r="D164" s="131" t="s">
        <v>101</v>
      </c>
      <c r="E164" s="127" t="e">
        <f>SUM(E160:E162)</f>
        <v>#REF!</v>
      </c>
      <c r="F164" s="110" t="e">
        <f>+E164/D159</f>
        <v>#REF!</v>
      </c>
    </row>
    <row r="165" spans="1:6" ht="15.75" thickBot="1" x14ac:dyDescent="0.3">
      <c r="E165" s="125" t="s">
        <v>103</v>
      </c>
      <c r="F165" s="126" t="s">
        <v>69</v>
      </c>
    </row>
    <row r="166" spans="1:6" ht="15.75" thickBot="1" x14ac:dyDescent="0.3">
      <c r="A166" s="60" t="s">
        <v>144</v>
      </c>
      <c r="B166" s="61"/>
    </row>
    <row r="167" spans="1:6" ht="15.75" thickBot="1" x14ac:dyDescent="0.3">
      <c r="A167" s="12" t="s">
        <v>145</v>
      </c>
      <c r="B167" s="12" t="s">
        <v>146</v>
      </c>
      <c r="D167" s="62" t="s">
        <v>147</v>
      </c>
      <c r="E167" s="102"/>
      <c r="F167" s="92"/>
    </row>
    <row r="168" spans="1:6" x14ac:dyDescent="0.25">
      <c r="A168" s="14" t="s">
        <v>145</v>
      </c>
      <c r="B168" s="46" t="s">
        <v>148</v>
      </c>
      <c r="C168" s="16" t="s">
        <v>103</v>
      </c>
      <c r="D168" s="63">
        <v>25</v>
      </c>
      <c r="E168" s="103">
        <v>0.25</v>
      </c>
      <c r="F168" s="21"/>
    </row>
    <row r="169" spans="1:6" x14ac:dyDescent="0.25">
      <c r="A169" s="59" t="s">
        <v>78</v>
      </c>
      <c r="B169" s="59" t="s">
        <v>79</v>
      </c>
      <c r="C169" s="59" t="s">
        <v>137</v>
      </c>
      <c r="D169" s="150">
        <f>+'custo unitário INSUMOS'!D27</f>
        <v>0.67</v>
      </c>
      <c r="E169" s="137" t="e">
        <f>VLOOKUP(A169,'custo unitário INSUMOS'!A:J,11,0)*(D168*D169)*E168</f>
        <v>#REF!</v>
      </c>
      <c r="F169" s="91"/>
    </row>
    <row r="170" spans="1:6" ht="15.75" thickBot="1" x14ac:dyDescent="0.3">
      <c r="A170" s="64" t="s">
        <v>59</v>
      </c>
      <c r="B170" s="35" t="s">
        <v>60</v>
      </c>
      <c r="C170" s="35" t="s">
        <v>96</v>
      </c>
      <c r="D170" s="120">
        <v>1</v>
      </c>
      <c r="E170" s="122" t="e">
        <f>VLOOKUP(A170,'custo unitário INSUMOS'!A:J,11,0)</f>
        <v>#REF!</v>
      </c>
    </row>
    <row r="171" spans="1:6" ht="15.75" thickBot="1" x14ac:dyDescent="0.3"/>
    <row r="172" spans="1:6" ht="15.75" thickBot="1" x14ac:dyDescent="0.3">
      <c r="D172" s="131" t="s">
        <v>101</v>
      </c>
      <c r="E172" s="127" t="e">
        <f>SUM(E169:E170)</f>
        <v>#REF!</v>
      </c>
      <c r="F172" s="110" t="e">
        <f>+E172/D168</f>
        <v>#REF!</v>
      </c>
    </row>
    <row r="173" spans="1:6" ht="15.75" thickBot="1" x14ac:dyDescent="0.3">
      <c r="E173" s="125" t="s">
        <v>103</v>
      </c>
      <c r="F173" s="126" t="s">
        <v>69</v>
      </c>
    </row>
    <row r="174" spans="1:6" ht="15.75" thickBot="1" x14ac:dyDescent="0.3">
      <c r="E174" s="139"/>
      <c r="F174" s="83"/>
    </row>
    <row r="175" spans="1:6" ht="15.75" thickBot="1" x14ac:dyDescent="0.3">
      <c r="A175" s="12" t="s">
        <v>149</v>
      </c>
      <c r="B175" s="12" t="s">
        <v>150</v>
      </c>
      <c r="D175" s="62" t="s">
        <v>147</v>
      </c>
      <c r="E175" s="102"/>
      <c r="F175" s="92"/>
    </row>
    <row r="176" spans="1:6" x14ac:dyDescent="0.25">
      <c r="A176" s="14" t="s">
        <v>149</v>
      </c>
      <c r="B176" s="46" t="s">
        <v>151</v>
      </c>
      <c r="C176" s="16" t="s">
        <v>103</v>
      </c>
      <c r="D176" s="63">
        <v>1</v>
      </c>
      <c r="E176" s="103">
        <v>0.15</v>
      </c>
      <c r="F176" s="21"/>
    </row>
    <row r="177" spans="1:6" x14ac:dyDescent="0.25">
      <c r="A177" s="59" t="s">
        <v>78</v>
      </c>
      <c r="B177" s="59" t="s">
        <v>79</v>
      </c>
      <c r="C177" s="59" t="s">
        <v>137</v>
      </c>
      <c r="D177" s="150">
        <f>+'custo unitário INSUMOS'!D27</f>
        <v>0.67</v>
      </c>
      <c r="E177" s="137" t="e">
        <f>VLOOKUP(A177,'custo unitário INSUMOS'!A:J,11,0)*(D176*D177)*E176</f>
        <v>#REF!</v>
      </c>
      <c r="F177" s="91"/>
    </row>
    <row r="178" spans="1:6" ht="15.75" thickBot="1" x14ac:dyDescent="0.3"/>
    <row r="179" spans="1:6" ht="15.75" thickBot="1" x14ac:dyDescent="0.3">
      <c r="D179" s="131" t="s">
        <v>101</v>
      </c>
      <c r="E179" s="127" t="e">
        <f>SUM(E177)</f>
        <v>#REF!</v>
      </c>
      <c r="F179" s="110" t="e">
        <f>+E179/D176</f>
        <v>#REF!</v>
      </c>
    </row>
    <row r="180" spans="1:6" ht="15.75" thickBot="1" x14ac:dyDescent="0.3">
      <c r="E180" s="125" t="s">
        <v>103</v>
      </c>
      <c r="F180" s="126" t="s">
        <v>69</v>
      </c>
    </row>
    <row r="182" spans="1:6" ht="15.75" thickBot="1" x14ac:dyDescent="0.3"/>
    <row r="183" spans="1:6" ht="15.75" thickBot="1" x14ac:dyDescent="0.3">
      <c r="A183" s="146" t="s">
        <v>64</v>
      </c>
      <c r="B183" s="147" t="s">
        <v>152</v>
      </c>
      <c r="C183" s="143" t="s">
        <v>153</v>
      </c>
      <c r="D183" s="58" t="s">
        <v>66</v>
      </c>
      <c r="E183" s="76"/>
      <c r="F183" s="88"/>
    </row>
    <row r="184" spans="1:6" x14ac:dyDescent="0.25">
      <c r="A184" s="144" t="s">
        <v>67</v>
      </c>
      <c r="B184" s="145" t="s">
        <v>68</v>
      </c>
      <c r="C184" s="68" t="s">
        <v>154</v>
      </c>
      <c r="D184" s="140">
        <v>8.8000000000000003E-4</v>
      </c>
      <c r="E184" s="122" t="e">
        <f>VLOOKUP(A184,'custo unitário INSUMOS'!A:J,11,0)</f>
        <v>#REF!</v>
      </c>
      <c r="F184" s="93"/>
    </row>
    <row r="185" spans="1:6" ht="15.75" thickBot="1" x14ac:dyDescent="0.3">
      <c r="A185" s="69" t="s">
        <v>71</v>
      </c>
      <c r="B185" s="70" t="s">
        <v>72</v>
      </c>
      <c r="C185" s="71" t="s">
        <v>96</v>
      </c>
      <c r="D185" s="141">
        <v>1</v>
      </c>
      <c r="E185" s="122" t="e">
        <f>VLOOKUP(A185,'custo unitário INSUMOS'!A:J,11,0)</f>
        <v>#REF!</v>
      </c>
      <c r="F185" s="93"/>
    </row>
    <row r="186" spans="1:6" ht="15.75" thickBot="1" x14ac:dyDescent="0.3"/>
    <row r="187" spans="1:6" ht="15.75" thickBot="1" x14ac:dyDescent="0.3">
      <c r="D187" s="65" t="s">
        <v>155</v>
      </c>
      <c r="E187" s="142" t="e">
        <f>+E185+E184</f>
        <v>#REF!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custo unitário INSUMOS</vt:lpstr>
      <vt:lpstr>estruturas MODELOS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Danieli Aragao</dc:creator>
  <cp:keywords/>
  <dc:description/>
  <cp:lastModifiedBy>Vanessa Santos Ferreira</cp:lastModifiedBy>
  <cp:revision/>
  <dcterms:created xsi:type="dcterms:W3CDTF">2024-07-05T12:26:00Z</dcterms:created>
  <dcterms:modified xsi:type="dcterms:W3CDTF">2026-02-18T20:33:30Z</dcterms:modified>
  <cp:category/>
  <cp:contentStatus/>
</cp:coreProperties>
</file>